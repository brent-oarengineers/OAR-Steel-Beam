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  <Override PartName="/xl/metadata.xml" ContentType="application/vnd.openxmlformats-officedocument.spreadsheetml.sheetMetadata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1" sheetId="1" state="visible" r:id="rId1"/>
  </sheets>
  <definedNames>
    <definedName name="BeamRef" localSheetId="0">'B1'!$G$3</definedName>
    <definedName name="BeamLocation" localSheetId="0">'B1'!$I$3</definedName>
    <definedName name="JobNo" localSheetId="0">'B1'!$G$1</definedName>
    <definedName name="CalcDate" localSheetId="0">'B1'!$I$1</definedName>
    <definedName name="Res_Dg" localSheetId="0">'B1'!$E$15</definedName>
    <definedName name="Res_Dl" localSheetId="0">'B1'!$E$16</definedName>
    <definedName name="Res_Ds" localSheetId="0">'B1'!$E$17</definedName>
    <definedName name="Res_Dq" localSheetId="0">'B1'!$E$18</definedName>
    <definedName name="Res_D1" localSheetId="0">'B1'!$E$19</definedName>
    <definedName name="Res_Mdn" localSheetId="0">'B1'!$E$21</definedName>
    <definedName name="Res_phiMdn" localSheetId="0">'B1'!$F$21</definedName>
    <definedName name="Res_Mup" localSheetId="0">'B1'!$E$22</definedName>
    <definedName name="Res_phiMup" localSheetId="0">'B1'!$F$22</definedName>
    <definedName name="Res_V" localSheetId="0">'B1'!$E$23</definedName>
    <definedName name="Res_phiV" localSheetId="0">'B1'!$F$23</definedName>
    <definedName name="Sum_MaxUtil" localSheetId="0">'B1'!$F$10</definedName>
    <definedName name="Sum_Status" localSheetId="0">'B1'!$I$10</definedName>
    <definedName name="LocationImage" localSheetId="0">'B1'!$M$8:$T$40</definedName>
    <definedName name="SectionType" localSheetId="0">'B1'!$E$26</definedName>
    <definedName name="SectionSize" localSheetId="0">'B1'!$E$27</definedName>
    <definedName name="Grade" localSheetId="0">'B1'!$E$28</definedName>
    <definedName name="Span" localSheetId="0">'B1'!$E$29</definedName>
    <definedName name="Support" localSheetId="0">'B1'!$E$30</definedName>
    <definedName name="E_mod" localSheetId="0">'B1'!$E$31</definedName>
    <definedName name="IncludeSW" localSheetId="0">'B1'!$E$32</definedName>
    <definedName name="Mass" localSheetId="0">'B1'!$H$27</definedName>
    <definedName name="Ix" localSheetId="0">'B1'!$H$28</definedName>
    <definedName name="Iy" localSheetId="0">'B1'!$H$29</definedName>
    <definedName name="J" localSheetId="0">'B1'!$H$30</definedName>
    <definedName name="Iw" localSheetId="0">'B1'!$H$31</definedName>
    <definedName name="Zex" localSheetId="0">'B1'!$H$32</definedName>
    <definedName name="phiMsx" localSheetId="0">'B1'!$H$33</definedName>
    <definedName name="DeflCriteria" localSheetId="0">'B1'!$B$37:$G$41</definedName>
    <definedName name="PsiL" localSheetId="0">'B1'!$G$38</definedName>
    <definedName name="PsiS" localSheetId="0">'B1'!$G$39</definedName>
    <definedName name="w_G" localSheetId="0">'B1'!$E$60</definedName>
    <definedName name="w_Q" localSheetId="0">'B1'!$F$60</definedName>
    <definedName name="w_Wd" localSheetId="0">'B1'!$G$60</definedName>
    <definedName name="w_Wu" localSheetId="0">'B1'!$H$60</definedName>
    <definedName name="w_Wid" localSheetId="0">'B1'!$I$60</definedName>
    <definedName name="w_Wiu" localSheetId="0">'B1'!$J$60</definedName>
    <definedName name="NumUpliftCombos" localSheetId="0">'B1'!$S$56</definedName>
    <definedName name="CombSet" localSheetId="0">'B1'!$E$63</definedName>
    <definedName name="PsiC" localSheetId="0">'B1'!$G$63</definedName>
    <definedName name="kl_Top" localSheetId="0">'B1'!$F$87</definedName>
    <definedName name="kl_Bot" localSheetId="0">'B1'!$G$87</definedName>
    <definedName name="kr_Top" localSheetId="0">'B1'!$F$88</definedName>
    <definedName name="kr_Bot" localSheetId="0">'B1'!$G$88</definedName>
    <definedName name="Cont_Top" localSheetId="0">'B1'!$F$89</definedName>
    <definedName name="Cont_Bot" localSheetId="0">'B1'!$G$89</definedName>
    <definedName name="RxnL_G" localSheetId="0">'B1'!$D$184</definedName>
    <definedName name="RxnR_G" localSheetId="0">'B1'!$E$184</definedName>
    <definedName name="RxnL_Q" localSheetId="0">'B1'!$D$185</definedName>
    <definedName name="RxnR_Q" localSheetId="0">'B1'!$E$185</definedName>
    <definedName name="RxnL_Wd" localSheetId="0">'B1'!$D$186</definedName>
    <definedName name="RxnR_Wd" localSheetId="0">'B1'!$E$186</definedName>
    <definedName name="RxnL_Wu" localSheetId="0">'B1'!$D$187</definedName>
    <definedName name="RxnR_Wu" localSheetId="0">'B1'!$E$187</definedName>
    <definedName name="RxnL_Wid" localSheetId="0">'B1'!$D$188</definedName>
    <definedName name="RxnR_Wid" localSheetId="0">'B1'!$E$188</definedName>
    <definedName name="RxnL_Wiu" localSheetId="0">'B1'!$D$189</definedName>
    <definedName name="RxnR_Wiu" localSheetId="0">'B1'!$E$189</definedName>
    <definedName name="Out_Reactions" localSheetId="0">'B1'!$B$193</definedName>
    <definedName name="_xlnm.Print_Area" localSheetId="0">'B1'!$A$1:$K$207</definedName>
  </definedName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numFmts count="8">
    <numFmt numFmtId="164" formatCode="yyyy-mm-dd"/>
    <numFmt numFmtId="165" formatCode="dd-mmm-yy"/>
    <numFmt numFmtId="166" formatCode="&quot;L/&quot;0"/>
    <numFmt numFmtId="167" formatCode="0.0"/>
    <numFmt numFmtId="168" formatCode="0.000 &quot;kN/m&quot;"/>
    <numFmt numFmtId="169" formatCode="0.00 &quot;m&quot;"/>
    <numFmt numFmtId="170" formatCode="&quot;✓&quot;;;"/>
    <numFmt numFmtId="171" formatCode="0.000"/>
  </numFmts>
  <fonts count="19">
    <font>
      <name val="Calibri"/>
      <family val="2"/>
      <color theme="1"/>
      <sz val="11"/>
      <scheme val="minor"/>
    </font>
    <font>
      <name val="Arial"/>
      <color rgb="00595959"/>
      <sz val="7"/>
    </font>
    <font>
      <name val="Arial"/>
      <color rgb="00000000"/>
      <sz val="9"/>
    </font>
    <font>
      <name val="Arial"/>
      <b val="1"/>
      <color rgb="00FFFFFF"/>
      <sz val="11"/>
    </font>
    <font>
      <name val="Arial"/>
      <color rgb="00000000"/>
      <sz val="7"/>
    </font>
    <font>
      <name val="Arial"/>
      <color rgb="00262626"/>
      <sz val="9"/>
    </font>
    <font>
      <name val="Arial"/>
      <color rgb="00262626"/>
      <sz val="7"/>
    </font>
    <font>
      <name val="Arial"/>
      <b val="1"/>
      <color rgb="00465A52"/>
      <sz val="10"/>
    </font>
    <font>
      <name val="Arial"/>
      <b val="1"/>
      <color rgb="00465A52"/>
      <sz val="12"/>
    </font>
    <font>
      <name val="Arial"/>
      <b val="1"/>
      <color rgb="00262626"/>
      <sz val="8"/>
    </font>
    <font>
      <name val="Arial"/>
      <b val="1"/>
      <color rgb="00465A52"/>
      <sz val="8"/>
    </font>
    <font>
      <name val="Arial"/>
      <color rgb="00595959"/>
      <sz val="8"/>
    </font>
    <font>
      <name val="Arial"/>
      <b val="1"/>
      <color rgb="00262626"/>
      <sz val="9"/>
    </font>
    <font>
      <name val="Arial"/>
      <b val="1"/>
      <color rgb="008C8C8C"/>
      <sz val="10"/>
    </font>
    <font>
      <name val="Arial"/>
      <i val="1"/>
      <color rgb="00A6A6A6"/>
      <sz val="9"/>
    </font>
    <font>
      <name val="Arial"/>
      <color rgb="00595959"/>
      <sz val="9"/>
    </font>
    <font>
      <name val="Arial"/>
      <i val="1"/>
      <color rgb="00595959"/>
      <sz val="8"/>
    </font>
    <font>
      <name val="Arial"/>
      <i val="1"/>
      <color rgb="00595959"/>
      <sz val="7"/>
    </font>
    <font>
      <name val="Arial"/>
      <color rgb="009C5700"/>
      <sz val="7"/>
    </font>
  </fonts>
  <fills count="7">
    <fill>
      <patternFill/>
    </fill>
    <fill>
      <patternFill patternType="gray125"/>
    </fill>
    <fill>
      <patternFill patternType="solid">
        <fgColor rgb="00F3EEE9"/>
      </patternFill>
    </fill>
    <fill>
      <patternFill patternType="solid">
        <fgColor rgb="00465A52"/>
      </patternFill>
    </fill>
    <fill>
      <patternFill patternType="solid">
        <fgColor rgb="00E6ECE9"/>
      </patternFill>
    </fill>
    <fill>
      <patternFill patternType="solid">
        <fgColor rgb="00DCD5CF"/>
      </patternFill>
    </fill>
    <fill>
      <patternFill patternType="solid">
        <fgColor rgb="00FAF8F6"/>
      </patternFill>
    </fill>
  </fills>
  <borders count="20">
    <border>
      <left/>
      <right/>
      <top/>
      <bottom/>
      <diagonal/>
    </border>
    <border>
      <left style="hair">
        <color rgb="008C8C8C"/>
      </left>
      <right style="hair">
        <color rgb="008C8C8C"/>
      </right>
      <top style="hair">
        <color rgb="008C8C8C"/>
      </top>
      <bottom style="hair">
        <color rgb="008C8C8C"/>
      </bottom>
    </border>
    <border>
      <top style="medium">
        <color rgb="00465A52"/>
      </top>
    </border>
    <border>
      <bottom style="thin">
        <color rgb="00B8ADA5"/>
      </bottom>
    </border>
    <border>
      <bottom style="hair">
        <color rgb="00B8ADA5"/>
      </bottom>
    </border>
    <border>
      <left style="thin">
        <color rgb="00B8ADA5"/>
      </left>
      <top style="thin">
        <color rgb="00B8ADA5"/>
      </top>
      <bottom style="thin">
        <color rgb="00B8ADA5"/>
      </bottom>
    </border>
    <border>
      <right style="thin">
        <color rgb="00B8ADA5"/>
      </right>
      <top style="thin">
        <color rgb="00B8ADA5"/>
      </top>
      <bottom style="thin">
        <color rgb="00B8ADA5"/>
      </bottom>
    </border>
    <border>
      <left style="dashed">
        <color rgb="00B8ADA5"/>
      </left>
      <top style="dashed">
        <color rgb="00B8ADA5"/>
      </top>
    </border>
    <border>
      <top style="dashed">
        <color rgb="00B8ADA5"/>
      </top>
    </border>
    <border>
      <right style="dashed">
        <color rgb="00B8ADA5"/>
      </right>
      <top style="dashed">
        <color rgb="00B8ADA5"/>
      </top>
    </border>
    <border>
      <left style="dashed">
        <color rgb="00B8ADA5"/>
      </left>
    </border>
    <border/>
    <border>
      <right style="dashed">
        <color rgb="00B8ADA5"/>
      </right>
    </border>
    <border>
      <left style="dashed">
        <color rgb="00B8ADA5"/>
      </left>
      <bottom style="dashed">
        <color rgb="00B8ADA5"/>
      </bottom>
    </border>
    <border>
      <bottom style="dashed">
        <color rgb="00B8ADA5"/>
      </bottom>
    </border>
    <border>
      <right style="dashed">
        <color rgb="00B8ADA5"/>
      </right>
      <bottom style="dashed">
        <color rgb="00B8ADA5"/>
      </bottom>
    </border>
    <border>
      <left/>
      <right/>
      <top style="hair">
        <color rgb="008C8C8C"/>
      </top>
      <bottom/>
      <diagonal/>
    </border>
    <border>
      <left/>
      <right style="hair">
        <color rgb="008C8C8C"/>
      </right>
      <top style="hair">
        <color rgb="008C8C8C"/>
      </top>
      <bottom/>
      <diagonal/>
    </border>
    <border>
      <left/>
      <right style="hair">
        <color rgb="008C8C8C"/>
      </right>
      <top style="hair">
        <color rgb="008C8C8C"/>
      </top>
      <bottom style="hair">
        <color rgb="008C8C8C"/>
      </bottom>
      <diagonal/>
    </border>
    <border>
      <bottom style="hair">
        <color rgb="00D9D9D9"/>
      </bottom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/>
    </xf>
    <xf numFmtId="165" fontId="2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2" borderId="1" applyAlignment="1" pivotButton="0" quotePrefix="0" xfId="0">
      <alignment horizontal="left" vertical="center" indent="1"/>
    </xf>
    <xf numFmtId="0" fontId="1" fillId="0" borderId="0" applyAlignment="1" pivotButton="0" quotePrefix="0" xfId="0">
      <alignment horizontal="left" vertical="center" indent="1"/>
    </xf>
    <xf numFmtId="0" fontId="0" fillId="0" borderId="2" pivotButton="0" quotePrefix="0" xfId="0"/>
    <xf numFmtId="0" fontId="3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7" fillId="0" borderId="3" applyAlignment="1" pivotButton="0" quotePrefix="0" xfId="0">
      <alignment vertical="bottom"/>
    </xf>
    <xf numFmtId="0" fontId="0" fillId="0" borderId="3" pivotButton="0" quotePrefix="0" xfId="0"/>
    <xf numFmtId="0" fontId="7" fillId="0" borderId="0" applyAlignment="1" pivotButton="0" quotePrefix="0" xfId="0">
      <alignment vertical="bottom"/>
    </xf>
    <xf numFmtId="0" fontId="17" fillId="0" borderId="0" applyAlignment="1" pivotButton="0" quotePrefix="0" xfId="0">
      <alignment horizontal="left" vertical="center" indent="1"/>
    </xf>
    <xf numFmtId="0" fontId="4" fillId="2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14" fillId="6" borderId="7" applyAlignment="1" pivotButton="0" quotePrefix="0" xfId="0">
      <alignment horizontal="center" vertical="center" wrapText="1"/>
    </xf>
    <xf numFmtId="0" fontId="0" fillId="6" borderId="8" pivotButton="0" quotePrefix="0" xfId="0"/>
    <xf numFmtId="0" fontId="0" fillId="6" borderId="9" pivotButton="0" quotePrefix="0" xfId="0"/>
    <xf numFmtId="0" fontId="5" fillId="0" borderId="0" pivotButton="0" quotePrefix="0" xfId="0"/>
    <xf numFmtId="0" fontId="11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6" borderId="10" pivotButton="0" quotePrefix="0" xfId="0"/>
    <xf numFmtId="0" fontId="0" fillId="6" borderId="11" pivotButton="0" quotePrefix="0" xfId="0"/>
    <xf numFmtId="0" fontId="0" fillId="6" borderId="12" pivotButton="0" quotePrefix="0" xfId="0"/>
    <xf numFmtId="0" fontId="9" fillId="5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indent="1"/>
    </xf>
    <xf numFmtId="9" fontId="8" fillId="0" borderId="0" applyAlignment="1" pivotButton="0" quotePrefix="0" xfId="0">
      <alignment horizontal="left" vertical="center" indent="1"/>
    </xf>
    <xf numFmtId="0" fontId="13" fillId="0" borderId="5" applyAlignment="1" pivotButton="0" quotePrefix="0" xfId="0">
      <alignment horizontal="center" vertical="center"/>
    </xf>
    <xf numFmtId="0" fontId="0" fillId="0" borderId="6" pivotButton="0" quotePrefix="0" xfId="0"/>
    <xf numFmtId="2" fontId="2" fillId="2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left" vertical="center" indent="1"/>
    </xf>
    <xf numFmtId="171" fontId="1" fillId="0" borderId="0" pivotButton="0" quotePrefix="0" xfId="0"/>
    <xf numFmtId="0" fontId="10" fillId="0" borderId="4" applyAlignment="1" pivotButton="0" quotePrefix="0" xfId="0">
      <alignment vertical="center"/>
    </xf>
    <xf numFmtId="0" fontId="0" fillId="0" borderId="4" pivotButton="0" quotePrefix="0" xfId="0"/>
    <xf numFmtId="0" fontId="5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 indent="1"/>
    </xf>
    <xf numFmtId="2" fontId="5" fillId="4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166" fontId="5" fillId="4" borderId="1" applyAlignment="1" pivotButton="0" quotePrefix="0" xfId="0">
      <alignment horizontal="center" vertical="center"/>
    </xf>
    <xf numFmtId="9" fontId="5" fillId="4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167" fontId="5" fillId="4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right" vertical="center"/>
    </xf>
    <xf numFmtId="0" fontId="15" fillId="0" borderId="0" applyAlignment="1" pivotButton="0" quotePrefix="0" xfId="0">
      <alignment horizontal="left" vertical="center" indent="1"/>
    </xf>
    <xf numFmtId="1" fontId="2" fillId="2" borderId="1" applyAlignment="1" pivotButton="0" quotePrefix="0" xfId="0">
      <alignment horizontal="center" vertical="center"/>
    </xf>
    <xf numFmtId="3" fontId="2" fillId="2" borderId="1" applyAlignment="1" pivotButton="0" quotePrefix="0" xfId="0">
      <alignment horizontal="center" vertical="center"/>
    </xf>
    <xf numFmtId="0" fontId="0" fillId="0" borderId="18" pivotButton="0" quotePrefix="0" xfId="0"/>
    <xf numFmtId="1" fontId="5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indent="1"/>
    </xf>
    <xf numFmtId="167" fontId="2" fillId="2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0" fillId="6" borderId="13" pivotButton="0" quotePrefix="0" xfId="0"/>
    <xf numFmtId="0" fontId="0" fillId="6" borderId="14" pivotButton="0" quotePrefix="0" xfId="0"/>
    <xf numFmtId="0" fontId="0" fillId="6" borderId="15" pivotButton="0" quotePrefix="0" xfId="0"/>
    <xf numFmtId="0" fontId="9" fillId="5" borderId="0" applyAlignment="1" pivotButton="0" quotePrefix="0" xfId="0">
      <alignment horizontal="center" vertical="center" wrapText="1"/>
    </xf>
    <xf numFmtId="169" fontId="2" fillId="2" borderId="1" applyAlignment="1" pivotButton="0" quotePrefix="0" xfId="0">
      <alignment horizontal="center" vertical="center"/>
    </xf>
    <xf numFmtId="168" fontId="5" fillId="4" borderId="1" applyAlignment="1" pivotButton="0" quotePrefix="0" xfId="0">
      <alignment horizontal="center" vertical="center"/>
    </xf>
    <xf numFmtId="170" fontId="5" fillId="4" borderId="1" applyAlignment="1" pivotButton="0" quotePrefix="0" xfId="0">
      <alignment horizontal="center" vertical="center"/>
    </xf>
    <xf numFmtId="2" fontId="5" fillId="0" borderId="0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5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9" fontId="5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 indent="1"/>
    </xf>
    <xf numFmtId="171" fontId="5" fillId="0" borderId="0" applyAlignment="1" pivotButton="0" quotePrefix="0" xfId="0">
      <alignment horizontal="center" vertical="center"/>
    </xf>
    <xf numFmtId="167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left" vertical="center" indent="1"/>
    </xf>
    <xf numFmtId="171" fontId="12" fillId="0" borderId="19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dxfs count="10">
    <dxf>
      <font>
        <b val="1"/>
        <color rgb="00C00000"/>
      </font>
    </dxf>
    <dxf>
      <font>
        <b val="1"/>
        <color rgb="00FFFFFF"/>
      </font>
      <fill>
        <patternFill patternType="solid">
          <bgColor rgb="00C00000"/>
        </patternFill>
      </fill>
    </dxf>
    <dxf>
      <font>
        <b val="1"/>
        <color rgb="00465A52"/>
      </font>
    </dxf>
    <dxf>
      <font>
        <b val="1"/>
        <color rgb="00465A52"/>
      </font>
      <fill>
        <patternFill patternType="solid">
          <bgColor rgb="00E6ECE9"/>
        </patternFill>
      </fill>
    </dxf>
    <dxf>
      <font>
        <b val="1"/>
        <color rgb="00C00000"/>
      </font>
      <fill>
        <patternFill patternType="solid">
          <bgColor rgb="00F6E1E1"/>
        </patternFill>
      </fill>
    </dxf>
    <dxf>
      <numFmt numFmtId="190" formatCode="0.000 &quot;kN&quot;"/>
    </dxf>
    <dxf>
      <numFmt numFmtId="191" formatCode="0.00 &quot;m²&quot;"/>
    </dxf>
    <dxf>
      <fill>
        <patternFill patternType="solid">
          <bgColor rgb="00E6ECE9"/>
        </patternFill>
      </fill>
      <border>
        <left style="hair">
          <color rgb="008C8C8C"/>
        </left>
        <right style="hair">
          <color rgb="008C8C8C"/>
        </right>
        <top style="hair">
          <color rgb="008C8C8C"/>
        </top>
        <bottom style="hair">
          <color rgb="008C8C8C"/>
        </bottom>
      </border>
    </dxf>
    <dxf>
      <font>
        <color rgb="00BFBFBF"/>
      </font>
    </dxf>
    <dxf>
      <font>
        <b val="1"/>
        <color rgb="009C57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Id="rIdMeta1" Type="http://schemas.openxmlformats.org/officeDocument/2006/relationships/sheetMetadata" Target="metadata.xml"/></Relationships>
</file>

<file path=xl/charts/chart1.xml><?xml version="1.0" encoding="utf-8"?>
<chartSpace xmlns="http://schemas.openxmlformats.org/drawingml/2006/chart">
  <style val="2"/>
  <chart>
    <plotArea>
      <scatterChart>
        <ser>
          <idx val="0"/>
          <order val="0"/>
          <tx>
            <v>Δg</v>
          </tx>
          <spPr>
            <a:ln xmlns:a="http://schemas.openxmlformats.org/drawingml/2006/main" w="19050">
              <a:solidFill>
                <a:srgbClr val="465A5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'B1'!$AT$13:$AT$73</f>
            </numRef>
          </xVal>
          <yVal>
            <numRef>
              <f>'B1'!$AU$13:$AU$73</f>
            </numRef>
          </yVal>
          <smooth val="0"/>
        </ser>
        <ser>
          <idx val="1"/>
          <order val="1"/>
          <tx>
            <v>Δg+ψl·q</v>
          </tx>
          <spPr>
            <a:ln xmlns:a="http://schemas.openxmlformats.org/drawingml/2006/main" w="19050">
              <a:solidFill>
                <a:srgbClr val="8FA89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'B1'!$AT$13:$AT$73</f>
            </numRef>
          </xVal>
          <yVal>
            <numRef>
              <f>'B1'!$AV$13:$AV$73</f>
            </numRef>
          </yVal>
          <smooth val="0"/>
        </ser>
        <ser>
          <idx val="2"/>
          <order val="2"/>
          <tx>
            <v>Δg+ψs·q</v>
          </tx>
          <spPr>
            <a:ln xmlns:a="http://schemas.openxmlformats.org/drawingml/2006/main" w="19050">
              <a:solidFill>
                <a:srgbClr val="B8ADA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'B1'!$AT$13:$AT$73</f>
            </numRef>
          </xVal>
          <yVal>
            <numRef>
              <f>'B1'!$AW$13:$AW$73</f>
            </numRef>
          </yVal>
          <smooth val="0"/>
        </ser>
        <ser>
          <idx val="3"/>
          <order val="3"/>
          <tx>
            <v>Δq</v>
          </tx>
          <spPr>
            <a:ln xmlns:a="http://schemas.openxmlformats.org/drawingml/2006/main" w="19050">
              <a:solidFill>
                <a:srgbClr val="5959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'B1'!$AT$13:$AT$73</f>
            </numRef>
          </xVal>
          <yVal>
            <numRef>
              <f>'B1'!$AX$13:$AX$73</f>
            </numRef>
          </yVal>
          <smooth val="0"/>
        </ser>
        <axId val="10"/>
        <axId val="20"/>
      </scatterChart>
      <valAx>
        <axId val="10"/>
        <scaling>
          <orientation val="minMax"/>
          <min val="0"/>
        </scaling>
        <delete val="0"/>
        <axPos val="l"/>
        <majorTickMark val="none"/>
        <minorTickMark val="none"/>
        <tickLblPos val="high"/>
        <crossAx val="20"/>
      </valAx>
      <valAx>
        <axId val="20"/>
        <scaling>
          <orientation val="maxMin"/>
        </scaling>
        <delete val="0"/>
        <axPos val="l"/>
        <majorGridlines>
          <spPr>
            <a:ln xmlns:a="http://schemas.openxmlformats.org/drawingml/2006/main" w="6350">
              <a:solidFill>
                <a:srgbClr val="E3E3E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δ (mm)</a:t>
                </a:r>
              </a:p>
            </rich>
          </tx>
        </title>
        <majorTickMark val="none"/>
        <minorTickMark val="none"/>
        <tickLblPos val="low"/>
        <crossAx val="10"/>
      </valAx>
    </plotArea>
    <legend>
      <legendPos val="t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plotArea>
      <scatterChart>
        <ser>
          <idx val="0"/>
          <order val="0"/>
          <tx>
            <v>M* max</v>
          </tx>
          <spPr>
            <a:ln xmlns:a="http://schemas.openxmlformats.org/drawingml/2006/main" w="19050">
              <a:solidFill>
                <a:srgbClr val="465A5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'B1'!$AZ$13:$AZ$73</f>
            </numRef>
          </xVal>
          <yVal>
            <numRef>
              <f>'B1'!$BA$13:$BA$73</f>
            </numRef>
          </yVal>
          <smooth val="0"/>
        </ser>
        <ser>
          <idx val="1"/>
          <order val="1"/>
          <tx>
            <v>M* min</v>
          </tx>
          <spPr>
            <a:ln xmlns:a="http://schemas.openxmlformats.org/drawingml/2006/main" w="19050">
              <a:solidFill>
                <a:srgbClr val="B8ADA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'B1'!$AZ$13:$AZ$73</f>
            </numRef>
          </xVal>
          <yVal>
            <numRef>
              <f>'B1'!$BB$13:$BB$73</f>
            </numRef>
          </yVal>
          <smooth val="0"/>
        </ser>
        <axId val="10"/>
        <axId val="20"/>
      </scatterChart>
      <valAx>
        <axId val="10"/>
        <scaling>
          <orientation val="minMax"/>
          <min val="0"/>
        </scaling>
        <delete val="0"/>
        <axPos val="l"/>
        <majorTickMark val="none"/>
        <minorTickMark val="none"/>
        <tickLblPos val="high"/>
        <crossAx val="20"/>
      </valAx>
      <valAx>
        <axId val="20"/>
        <scaling>
          <orientation val="maxMin"/>
        </scaling>
        <delete val="0"/>
        <axPos val="l"/>
        <majorGridlines>
          <spPr>
            <a:ln xmlns:a="http://schemas.openxmlformats.org/drawingml/2006/main" w="6350">
              <a:solidFill>
                <a:srgbClr val="E3E3E3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M* (kN·m)</a:t>
                </a:r>
              </a:p>
            </rich>
          </tx>
        </title>
        <majorTickMark val="none"/>
        <minorTickMark val="none"/>
        <tickLblPos val="low"/>
        <crossAx val="10"/>
      </valAx>
    </plotArea>
    <legend>
      <legendPos val="t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image" Target="/xl/media/image1.png" Id="rId3"/></Relationships>
</file>

<file path=xl/drawings/drawing1.xml><?xml version="1.0" encoding="utf-8"?>
<wsDr xmlns="http://schemas.openxmlformats.org/drawingml/2006/spreadsheetDrawing">
  <oneCellAnchor>
    <from>
      <col>1</col>
      <colOff>0</colOff>
      <row>99</row>
      <rowOff>0</rowOff>
    </from>
    <ext cx="6336000" cy="194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113</row>
      <rowOff>0</rowOff>
    </from>
    <ext cx="6336000" cy="194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0</row>
      <rowOff>0</rowOff>
    </from>
    <ext cx="2686050" cy="381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Loads_B1" displayName="Loads_B1" ref="B46:J57" headerRowCount="1">
  <tableColumns count="9">
    <tableColumn id="1" name="Case"/>
    <tableColumn id="2" name="Type"/>
    <tableColumn id="3" name="Description"/>
    <tableColumn id="4" name="Trib (m | m²)"/>
    <tableColumn id="5" name="Press. (kPa)">
      <calculatedColumnFormula>IFERROR(INDEX(LoadLib_B1[kPa],MATCH(Loads_B1[[#This Row],[Description]],LoadLib_B1[Description],0)),"")</calculatedColumnFormula>
    </tableColumn>
    <tableColumn id="6" name="+ Direct (kN/m | kN)"/>
    <tableColumn id="7" name="Start (mm)"/>
    <tableColumn id="8" name="End (mm)"/>
    <tableColumn id="9" name="Load">
      <calculatedColumnFormula>IF(Loads_B1[[#This Row],[Case]]="","",N(Loads_B1[[#This Row],[Trib (m | m²)]])*N(Loads_B1[[#This Row],[Press. (kPa)]])+N(Loads_B1[[#This Row],[+ Direct (kN/m | kN)]]))</calculatedColumnFormula>
    </tableColumn>
  </tableColumns>
  <tableStyleInfo name="TableStyleLight15" showRowStripes="0"/>
</table>
</file>

<file path=xl/tables/table2.xml><?xml version="1.0" encoding="utf-8"?>
<table xmlns="http://schemas.openxmlformats.org/spreadsheetml/2006/main" id="2" name="LoadLib_B1" displayName="LoadLib_B1" ref="AP9:AS31" headerRowCount="1">
  <autoFilter ref="AP9:AS31"/>
  <tableColumns count="4">
    <tableColumn id="42" name="Case"/>
    <tableColumn id="43" name="Description"/>
    <tableColumn id="44" name="kPa"/>
    <tableColumn id="45" name="Source / note"/>
  </tableColumns>
  <tableStyleInfo name="TableStyleLight15" showRowStripes="0"/>
</table>
</file>

<file path=xl/tables/table3.xml><?xml version="1.0" encoding="utf-8"?>
<table xmlns="http://schemas.openxmlformats.org/spreadsheetml/2006/main" id="3" name="CombLib_B1" displayName="CombLib_B1" ref="M46:X54" headerRowCount="1">
  <autoFilter ref="M46:X54"/>
  <tableColumns count="12">
    <tableColumn id="13" name="Include"/>
    <tableColumn id="14" name="Active"/>
    <tableColumn id="15" name="Group"/>
    <tableColumn id="16" name="ID"/>
    <tableColumn id="17" name="Crit. flange"/>
    <tableColumn id="18" name="Combination"/>
    <tableColumn id="19" name="G"/>
    <tableColumn id="20" name="Q"/>
    <tableColumn id="21" name="Wd"/>
    <tableColumn id="22" name="Wu"/>
    <tableColumn id="23" name="Wid"/>
    <tableColumn id="24" name="Wiu"/>
  </tableColumns>
  <tableStyleInfo name="TableStyleLight15" showRowStripes="0"/>
</table>
</file>

<file path=xl/tables/table4.xml><?xml version="1.0" encoding="utf-8"?>
<table xmlns="http://schemas.openxmlformats.org/spreadsheetml/2006/main" id="4" name="Restraints_B1" displayName="Restraints_B1" ref="B76:H83" headerRowCount="1">
  <autoFilter ref="B76:H83"/>
  <tableColumns count="7">
    <tableColumn id="2" name="x (mm)"/>
    <tableColumn id="3" name="Ref"/>
    <tableColumn id="4" name="Restraint provided by"/>
    <tableColumn id="5" name="Top flange"/>
    <tableColumn id="6" name="Bottom fl."/>
    <tableColumn id="7" name="αm top →"/>
    <tableColumn id="8" name="αm bot. →"/>
  </tableColumns>
  <tableStyleInfo name="TableStyleLight15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Relationship Type="http://schemas.openxmlformats.org/officeDocument/2006/relationships/table" Target="/xl/tables/table2.xml" Id="rId3"/><Relationship Type="http://schemas.openxmlformats.org/officeDocument/2006/relationships/table" Target="/xl/tables/table3.xml" Id="rId4"/><Relationship Type="http://schemas.openxmlformats.org/officeDocument/2006/relationships/table" Target="/xl/tables/table4.xml" Id="rId5"/></Relationships>
</file>

<file path=xl/worksheets/sheet1.xml><?xml version="1.0" encoding="utf-8"?>
<worksheet xmlns="http://schemas.openxmlformats.org/spreadsheetml/2006/main">
  <sheetPr>
    <tabColor rgb="00465A52"/>
    <outlinePr summaryBelow="1" summaryRight="1"/>
    <pageSetUpPr fitToPage="1"/>
  </sheetPr>
  <dimension ref="B1:BB206"/>
  <sheetViews>
    <sheetView showGridLines="0" zoomScale="115" workbookViewId="0">
      <selection activeCell="A1" sqref="A1"/>
    </sheetView>
  </sheetViews>
  <sheetFormatPr baseColWidth="8" defaultRowHeight="15"/>
  <cols>
    <col width="1.5" customWidth="1" min="1" max="1"/>
    <col width="8" customWidth="1" min="2" max="2"/>
    <col width="9" customWidth="1" min="3" max="3"/>
    <col width="3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1" customWidth="1" min="10" max="10"/>
    <col width="1.5" customWidth="1" min="11" max="11"/>
    <col width="4" customWidth="1" min="12" max="12"/>
    <col width="8" customWidth="1" min="13" max="13"/>
    <col width="7" customWidth="1" min="14" max="14"/>
    <col width="9" customWidth="1" min="15" max="15"/>
    <col width="7" customWidth="1" min="16" max="16"/>
    <col width="9" customWidth="1" min="17" max="17"/>
    <col width="26" customWidth="1" min="18" max="18"/>
    <col width="6.5" customWidth="1" min="19" max="19"/>
    <col width="6.5" customWidth="1" min="20" max="20"/>
    <col width="6.5" customWidth="1" min="21" max="21"/>
    <col width="6.5" customWidth="1" min="22" max="22"/>
    <col width="6.5" customWidth="1" min="23" max="23"/>
    <col width="6.5" customWidth="1" min="24" max="24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12" customWidth="1" min="38" max="38"/>
    <col width="12" customWidth="1" min="40" max="40"/>
    <col width="7" customWidth="1" min="42" max="42"/>
    <col width="38" customWidth="1" min="43" max="43"/>
    <col width="8" customWidth="1" min="44" max="44"/>
    <col width="46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</cols>
  <sheetData>
    <row r="1" ht="17" customHeight="1">
      <c r="F1" s="1" t="inlineStr">
        <is>
          <t>JOB No.</t>
        </is>
      </c>
      <c r="G1" s="2" t="inlineStr">
        <is>
          <t>26-000</t>
        </is>
      </c>
      <c r="H1" s="1" t="inlineStr">
        <is>
          <t>DATE</t>
        </is>
      </c>
      <c r="I1" s="3" t="n">
        <v>46323</v>
      </c>
      <c r="J1" s="4" t="n"/>
    </row>
    <row r="2" ht="17" customHeight="1">
      <c r="F2" s="1" t="inlineStr">
        <is>
          <t>PROJECT</t>
        </is>
      </c>
      <c r="G2" s="5" t="inlineStr">
        <is>
          <t>Project name / address</t>
        </is>
      </c>
      <c r="H2" s="4" t="n"/>
      <c r="I2" s="4" t="n"/>
      <c r="J2" s="4" t="n"/>
    </row>
    <row r="3" ht="17" customHeight="1">
      <c r="F3" s="1" t="inlineStr">
        <is>
          <t>BEAM</t>
        </is>
      </c>
      <c r="G3" s="2" t="inlineStr">
        <is>
          <t>B1</t>
        </is>
      </c>
      <c r="H3" s="1" t="inlineStr">
        <is>
          <t>LOCATION</t>
        </is>
      </c>
      <c r="I3" s="5" t="inlineStr">
        <is>
          <t>Roof – grid A/1-3</t>
        </is>
      </c>
      <c r="J3" s="4" t="n"/>
    </row>
    <row r="4" ht="17" customHeight="1">
      <c r="B4" s="6" t="inlineStr">
        <is>
          <t>OAR Consulting Engineers Pty Ltd  ·  22 Martin Street, Nerang QLD 4211  ·  (07) 5527 2288</t>
        </is>
      </c>
      <c r="F4" s="1" t="inlineStr">
        <is>
          <t>BY</t>
        </is>
      </c>
      <c r="G4" s="2" t="inlineStr">
        <is>
          <t>BO</t>
        </is>
      </c>
      <c r="H4" s="1" t="inlineStr">
        <is>
          <t>CHECKED</t>
        </is>
      </c>
      <c r="I4" s="2" t="inlineStr"/>
      <c r="J4" s="4" t="n"/>
    </row>
    <row r="5" ht="6" customHeight="1">
      <c r="B5" s="7" t="n"/>
      <c r="C5" s="7" t="n"/>
      <c r="D5" s="7" t="n"/>
      <c r="E5" s="7" t="n"/>
      <c r="F5" s="7" t="n"/>
      <c r="G5" s="7" t="n"/>
      <c r="H5" s="7" t="n"/>
      <c r="I5" s="7" t="n"/>
      <c r="J5" s="7" t="n"/>
    </row>
    <row r="6" ht="22" customHeight="1">
      <c r="B6" s="8">
        <f>"STEEL BEAM DESIGN  –  "&amp;IF(BeamRef="","(beam ref)",BeamRef)&amp;IF(BeamLocation="","","  ·  "&amp;BeamLocation)</f>
        <v/>
      </c>
      <c r="C6" s="9" t="n"/>
      <c r="D6" s="9" t="n"/>
      <c r="E6" s="9" t="n"/>
      <c r="F6" s="9" t="n"/>
      <c r="G6" s="9" t="n"/>
      <c r="H6" s="9" t="n"/>
      <c r="I6" s="9" t="n"/>
      <c r="J6" s="9" t="n"/>
      <c r="M6" s="10" t="inlineStr">
        <is>
          <t>Beam Location  (not printed)</t>
        </is>
      </c>
      <c r="N6" s="11" t="n"/>
      <c r="O6" s="11" t="n"/>
      <c r="P6" s="11" t="n"/>
      <c r="Q6" s="11" t="n"/>
      <c r="R6" s="11" t="n"/>
      <c r="S6" s="11" t="n"/>
      <c r="T6" s="11" t="n"/>
      <c r="Z6" s="12" t="inlineStr">
        <is>
          <t>Add-in data for summary and charts  (not printed)</t>
        </is>
      </c>
      <c r="AP6" s="12" t="inlineStr">
        <is>
          <t>Load Library  (not printed)</t>
        </is>
      </c>
    </row>
    <row r="7" ht="14" customHeight="1">
      <c r="B7" s="13" cm="1">
        <f t="array" ref="B7">IFERROR("Calculated with "&amp;OAR.VERSION(),"OAR Steel add-in not loaded")</f>
        <v/>
      </c>
      <c r="G7" s="1" t="inlineStr">
        <is>
          <t>Legend:</t>
        </is>
      </c>
      <c r="H7" s="14" t="inlineStr">
        <is>
          <t>Input</t>
        </is>
      </c>
      <c r="I7" s="15" t="inlineStr">
        <is>
          <t>Calculated</t>
        </is>
      </c>
      <c r="Z7" s="13" t="inlineStr">
        <is>
          <t>Governing (OAR.GOVERNING)</t>
        </is>
      </c>
      <c r="AL7" s="13" t="inlineStr">
        <is>
          <t>Sections (OAR.SECTIONLIST)</t>
        </is>
      </c>
      <c r="AN7" s="13" t="inlineStr">
        <is>
          <t>All sections (fallback)</t>
        </is>
      </c>
      <c r="AP7" s="13" t="inlineStr">
        <is>
          <t>Typical starting values only – verify for each job. Picking a Description in the loads table fills Press. (kPa); type over it to change. Keep rows grouped by case (insert new rows inside the case's block).</t>
        </is>
      </c>
    </row>
    <row r="8" ht="20" customHeight="1">
      <c r="B8" s="10" t="inlineStr">
        <is>
          <t>Design Summary</t>
        </is>
      </c>
      <c r="C8" s="11" t="n"/>
      <c r="D8" s="11" t="n"/>
      <c r="E8" s="11" t="n"/>
      <c r="F8" s="11" t="n"/>
      <c r="G8" s="11" t="n"/>
      <c r="H8" s="11" t="n"/>
      <c r="I8" s="11" t="n"/>
      <c r="J8" s="11" t="n"/>
      <c r="M8" s="16" t="inlineStr">
        <is>
          <t>Paste beam location screenshot / plan extract here
(right-click &gt; Paste as Picture, then resize to fit this frame)</t>
        </is>
      </c>
      <c r="N8" s="17" t="n"/>
      <c r="O8" s="17" t="n"/>
      <c r="P8" s="17" t="n"/>
      <c r="Q8" s="17" t="n"/>
      <c r="R8" s="17" t="n"/>
      <c r="S8" s="17" t="n"/>
      <c r="T8" s="18" t="n"/>
      <c r="Z8" s="19" cm="1">
        <f t="array" ref="Z8">OAR.GOVERNING(SectionSize,Grade,Span,E_mod,IncludeSW,Loads_B1[[Case]:[End (mm)]],_xlfn.ANCHORARRAY(B66),Restraints_B1[#Data],$F$87:$G$89)</f>
        <v/>
      </c>
      <c r="AL8" s="19" cm="1">
        <f t="array" ref="AL8">OAR.SECTIONLIST(SectionType)</f>
        <v/>
      </c>
      <c r="AN8" s="20" t="inlineStr">
        <is>
          <t>1200WB455</t>
        </is>
      </c>
    </row>
    <row r="9" ht="14" customHeight="1">
      <c r="B9" s="6" t="inlineStr">
        <is>
          <t>Adopted section</t>
        </is>
      </c>
      <c r="F9" s="6" t="inlineStr">
        <is>
          <t>Max utilisation</t>
        </is>
      </c>
      <c r="I9" s="21" t="inlineStr">
        <is>
          <t>Status</t>
        </is>
      </c>
      <c r="M9" s="22" t="n"/>
      <c r="N9" s="23" t="n"/>
      <c r="O9" s="23" t="n"/>
      <c r="P9" s="23" t="n"/>
      <c r="Q9" s="23" t="n"/>
      <c r="R9" s="23" t="n"/>
      <c r="S9" s="23" t="n"/>
      <c r="T9" s="24" t="n"/>
      <c r="AN9" s="20" t="inlineStr">
        <is>
          <t>1200WB423</t>
        </is>
      </c>
      <c r="AP9" s="25" t="inlineStr">
        <is>
          <t>Case</t>
        </is>
      </c>
      <c r="AQ9" s="25" t="inlineStr">
        <is>
          <t>Description</t>
        </is>
      </c>
      <c r="AR9" s="25" t="inlineStr">
        <is>
          <t>kPa</t>
        </is>
      </c>
      <c r="AS9" s="25" t="inlineStr">
        <is>
          <t>Source / note</t>
        </is>
      </c>
    </row>
    <row r="10" ht="20" customHeight="1">
      <c r="B10" s="26">
        <f>IF(SectionSize="","–",SectionSize&amp;"  Gr "&amp;Grade)</f>
        <v/>
      </c>
      <c r="F10" s="27">
        <f>IF(COUNT(I14:I23)=0,"–",MAX(I14:I23))</f>
        <v/>
      </c>
      <c r="I10" s="28">
        <f>IF(COUNT(I14:I23)=0,"PENDING",IF(MAX(I14:I23)&lt;=1,"PASS","FAIL"))</f>
        <v/>
      </c>
      <c r="J10" s="29" t="n"/>
      <c r="M10" s="22" t="n"/>
      <c r="N10" s="23" t="n"/>
      <c r="O10" s="23" t="n"/>
      <c r="P10" s="23" t="n"/>
      <c r="Q10" s="23" t="n"/>
      <c r="R10" s="23" t="n"/>
      <c r="S10" s="23" t="n"/>
      <c r="T10" s="24" t="n"/>
      <c r="AN10" s="20" t="inlineStr">
        <is>
          <t>1200WB392</t>
        </is>
      </c>
      <c r="AP10" s="2" t="inlineStr">
        <is>
          <t>G</t>
        </is>
      </c>
      <c r="AQ10" s="5" t="inlineStr">
        <is>
          <t>Roof sheeting + purlins</t>
        </is>
      </c>
      <c r="AR10" s="30" t="n">
        <v>0.1</v>
      </c>
      <c r="AS10" s="31" t="inlineStr">
        <is>
          <t>allowance – check sheeting and purlin weights</t>
        </is>
      </c>
    </row>
    <row r="11" ht="14" customHeight="1">
      <c r="B11" s="6">
        <f>"Span "&amp;TEXT(Span,"#,##0")&amp;" mm  ·  "&amp;Support&amp;IF(IncludeSW="Yes","  ·  incl. self-weight","")</f>
        <v/>
      </c>
      <c r="F11" s="6">
        <f>IF(COUNT(I14:I23)=0,"","Governs: "&amp;INDEX(D14:D23,MATCH(MAX(I14:I23),I14:I23,0)))</f>
        <v/>
      </c>
      <c r="M11" s="22" t="n"/>
      <c r="N11" s="23" t="n"/>
      <c r="O11" s="23" t="n"/>
      <c r="P11" s="23" t="n"/>
      <c r="Q11" s="23" t="n"/>
      <c r="R11" s="23" t="n"/>
      <c r="S11" s="23" t="n"/>
      <c r="T11" s="24" t="n"/>
      <c r="AN11" s="20" t="inlineStr">
        <is>
          <t>1200WB342</t>
        </is>
      </c>
      <c r="AP11" s="2" t="inlineStr">
        <is>
          <t>G</t>
        </is>
      </c>
      <c r="AQ11" s="5" t="inlineStr">
        <is>
          <t>Light sheet roof (20 kg/m²)</t>
        </is>
      </c>
      <c r="AR11" s="30" t="n">
        <v>0.196</v>
      </c>
      <c r="AS11" s="31" t="inlineStr">
        <is>
          <t>20 kg/m² x 9.81</t>
        </is>
      </c>
    </row>
    <row r="12" ht="14" customHeight="1">
      <c r="M12" s="22" t="n"/>
      <c r="N12" s="23" t="n"/>
      <c r="O12" s="23" t="n"/>
      <c r="P12" s="23" t="n"/>
      <c r="Q12" s="23" t="n"/>
      <c r="R12" s="23" t="n"/>
      <c r="S12" s="23" t="n"/>
      <c r="T12" s="24" t="n"/>
      <c r="Z12" s="13" t="inlineStr">
        <is>
          <t>Envelope (OAR.ENVELOPE)</t>
        </is>
      </c>
      <c r="AF12" s="13" t="inlineStr">
        <is>
          <t>Deflected shapes (OAR.DEFLECTIONS)</t>
        </is>
      </c>
      <c r="AN12" s="20" t="inlineStr">
        <is>
          <t>1200WB317</t>
        </is>
      </c>
      <c r="AP12" s="2" t="inlineStr">
        <is>
          <t>G</t>
        </is>
      </c>
      <c r="AQ12" s="5" t="inlineStr">
        <is>
          <t>Sheet roof (40 kg/m²)</t>
        </is>
      </c>
      <c r="AR12" s="30" t="n">
        <v>0.392</v>
      </c>
      <c r="AS12" s="31" t="inlineStr">
        <is>
          <t>40 kg/m² x 9.81</t>
        </is>
      </c>
      <c r="AT12" s="13" t="inlineStr">
        <is>
          <t>Chart data (fixed copies of the spills above)</t>
        </is>
      </c>
    </row>
    <row r="13" ht="16" customHeight="1">
      <c r="B13" s="25" t="inlineStr">
        <is>
          <t>Check</t>
        </is>
      </c>
      <c r="D13" s="25" t="inlineStr">
        <is>
          <t>Basis</t>
        </is>
      </c>
      <c r="E13" s="25" t="inlineStr">
        <is>
          <t>Actual</t>
        </is>
      </c>
      <c r="F13" s="25" t="inlineStr">
        <is>
          <t>Limit</t>
        </is>
      </c>
      <c r="G13" s="25" t="inlineStr">
        <is>
          <t>Unit</t>
        </is>
      </c>
      <c r="H13" s="25" t="inlineStr">
        <is>
          <t>L / x</t>
        </is>
      </c>
      <c r="I13" s="25" t="inlineStr">
        <is>
          <t>Utilisation</t>
        </is>
      </c>
      <c r="J13" s="25" t="inlineStr">
        <is>
          <t>Status</t>
        </is>
      </c>
      <c r="M13" s="22" t="n"/>
      <c r="N13" s="23" t="n"/>
      <c r="O13" s="23" t="n"/>
      <c r="P13" s="23" t="n"/>
      <c r="Q13" s="23" t="n"/>
      <c r="R13" s="23" t="n"/>
      <c r="S13" s="23" t="n"/>
      <c r="T13" s="24" t="n"/>
      <c r="Z13" s="19" cm="1">
        <f t="array" ref="Z13">OAR.ENVELOPE(SectionSize,Span,IncludeSW,Loads_B1[[Case]:[End (mm)]],_xlfn.ANCHORARRAY(B66),60)</f>
        <v/>
      </c>
      <c r="AF13" s="19" cm="1">
        <f t="array" ref="AF13">OAR.DEFLECTIONS(SectionSize,Span,E_mod,IncludeSW,Loads_B1[[Case]:[End (mm)]],PsiL,PsiS,60)</f>
        <v/>
      </c>
      <c r="AN13" s="20" t="inlineStr">
        <is>
          <t>1200WB278</t>
        </is>
      </c>
      <c r="AP13" s="2" t="inlineStr">
        <is>
          <t>G</t>
        </is>
      </c>
      <c r="AQ13" s="5" t="inlineStr">
        <is>
          <t>Tiled roof (90 kg/m²)</t>
        </is>
      </c>
      <c r="AR13" s="30" t="n">
        <v>0.883</v>
      </c>
      <c r="AS13" s="31" t="inlineStr">
        <is>
          <t>90 kg/m² x 9.81</t>
        </is>
      </c>
      <c r="AT13" s="32" cm="1">
        <f t="array" ref="AT13">IFERROR(INDEX(_xlfn.ANCHORARRAY(AF13),2,1),NA())</f>
        <v/>
      </c>
      <c r="AU13" s="32" cm="1">
        <f t="array" ref="AU13">IFERROR(INDEX(_xlfn.ANCHORARRAY(AF13),2,2),NA())</f>
        <v/>
      </c>
      <c r="AV13" s="32" cm="1">
        <f t="array" ref="AV13">IFERROR(INDEX(_xlfn.ANCHORARRAY(AF13),2,3),NA())</f>
        <v/>
      </c>
      <c r="AW13" s="32" cm="1">
        <f t="array" ref="AW13">IFERROR(INDEX(_xlfn.ANCHORARRAY(AF13),2,4),NA())</f>
        <v/>
      </c>
      <c r="AX13" s="32" cm="1">
        <f t="array" ref="AX13">IFERROR(INDEX(_xlfn.ANCHORARRAY(AF13),2,5),NA())</f>
        <v/>
      </c>
      <c r="AZ13" s="32" cm="1">
        <f t="array" ref="AZ13">IFERROR(INDEX(_xlfn.ANCHORARRAY(Z13),2,1),NA())</f>
        <v/>
      </c>
      <c r="BA13" s="32" cm="1">
        <f t="array" ref="BA13">IFERROR(INDEX(_xlfn.ANCHORARRAY(Z13),2,2),NA())</f>
        <v/>
      </c>
      <c r="BB13" s="32" cm="1">
        <f t="array" ref="BB13">IFERROR(INDEX(_xlfn.ANCHORARRAY(Z13),2,3),NA())</f>
        <v/>
      </c>
    </row>
    <row r="14" ht="14" customHeight="1">
      <c r="B14" s="33" t="inlineStr">
        <is>
          <t>Serviceability</t>
        </is>
      </c>
      <c r="C14" s="34" t="n"/>
      <c r="D14" s="34" t="n"/>
      <c r="E14" s="34" t="n"/>
      <c r="F14" s="34" t="n"/>
      <c r="G14" s="34" t="n"/>
      <c r="H14" s="34" t="n"/>
      <c r="I14" s="34" t="n"/>
      <c r="J14" s="34" t="n"/>
      <c r="M14" s="22" t="n"/>
      <c r="N14" s="23" t="n"/>
      <c r="O14" s="23" t="n"/>
      <c r="P14" s="23" t="n"/>
      <c r="Q14" s="23" t="n"/>
      <c r="R14" s="23" t="n"/>
      <c r="S14" s="23" t="n"/>
      <c r="T14" s="24" t="n"/>
      <c r="AN14" s="20" t="inlineStr">
        <is>
          <t>1200WB249</t>
        </is>
      </c>
      <c r="AP14" s="2" t="inlineStr">
        <is>
          <t>G</t>
        </is>
      </c>
      <c r="AQ14" s="5" t="inlineStr">
        <is>
          <t>Ceiling + services</t>
        </is>
      </c>
      <c r="AR14" s="30" t="n">
        <v>0.15</v>
      </c>
      <c r="AS14" s="31" t="inlineStr">
        <is>
          <t>allowance</t>
        </is>
      </c>
      <c r="AT14" s="32" cm="1">
        <f t="array" ref="AT14">IFERROR(INDEX(_xlfn.ANCHORARRAY(AF13),3,1),NA())</f>
        <v/>
      </c>
      <c r="AU14" s="32" cm="1">
        <f t="array" ref="AU14">IFERROR(INDEX(_xlfn.ANCHORARRAY(AF13),3,2),NA())</f>
        <v/>
      </c>
      <c r="AV14" s="32" cm="1">
        <f t="array" ref="AV14">IFERROR(INDEX(_xlfn.ANCHORARRAY(AF13),3,3),NA())</f>
        <v/>
      </c>
      <c r="AW14" s="32" cm="1">
        <f t="array" ref="AW14">IFERROR(INDEX(_xlfn.ANCHORARRAY(AF13),3,4),NA())</f>
        <v/>
      </c>
      <c r="AX14" s="32" cm="1">
        <f t="array" ref="AX14">IFERROR(INDEX(_xlfn.ANCHORARRAY(AF13),3,5),NA())</f>
        <v/>
      </c>
      <c r="AZ14" s="32" cm="1">
        <f t="array" ref="AZ14">IFERROR(INDEX(_xlfn.ANCHORARRAY(Z13),3,1),NA())</f>
        <v/>
      </c>
      <c r="BA14" s="32" cm="1">
        <f t="array" ref="BA14">IFERROR(INDEX(_xlfn.ANCHORARRAY(Z13),3,2),NA())</f>
        <v/>
      </c>
      <c r="BB14" s="32" cm="1">
        <f t="array" ref="BB14">IFERROR(INDEX(_xlfn.ANCHORARRAY(Z13),3,3),NA())</f>
        <v/>
      </c>
    </row>
    <row r="15" ht="14" customHeight="1">
      <c r="B15" s="35" t="inlineStr">
        <is>
          <t>Δg</t>
        </is>
      </c>
      <c r="D15" s="36" t="inlineStr">
        <is>
          <t>Dead load</t>
        </is>
      </c>
      <c r="E15" s="37" cm="1">
        <f t="array" ref="E15">INDEX(_xlfn.ANCHORARRAY(B93),1,2)</f>
        <v/>
      </c>
      <c r="F15" s="37">
        <f>IF(N(E37)=0,"",IF(N(F37)=0,Span/E37,MIN(Span/E37,F37)))</f>
        <v/>
      </c>
      <c r="G15" s="38" t="inlineStr">
        <is>
          <t>mm</t>
        </is>
      </c>
      <c r="H15" s="39">
        <f>IF(N(E15)=0,"",Span/E15)</f>
        <v/>
      </c>
      <c r="I15" s="40">
        <f>IF(OR(E15="",N(F15)=0),"",ABS(E15)/F15)</f>
        <v/>
      </c>
      <c r="J15" s="41">
        <f>IF(I15="","–",IF(I15&lt;=1,"OK","NG"))</f>
        <v/>
      </c>
      <c r="M15" s="22" t="n"/>
      <c r="N15" s="23" t="n"/>
      <c r="O15" s="23" t="n"/>
      <c r="P15" s="23" t="n"/>
      <c r="Q15" s="23" t="n"/>
      <c r="R15" s="23" t="n"/>
      <c r="S15" s="23" t="n"/>
      <c r="T15" s="24" t="n"/>
      <c r="AN15" s="20" t="inlineStr">
        <is>
          <t>1000WB322</t>
        </is>
      </c>
      <c r="AP15" s="2" t="inlineStr">
        <is>
          <t>G</t>
        </is>
      </c>
      <c r="AQ15" s="5" t="inlineStr">
        <is>
          <t>Services allowance</t>
        </is>
      </c>
      <c r="AR15" s="30" t="n">
        <v>0.25</v>
      </c>
      <c r="AS15" s="31" t="inlineStr">
        <is>
          <t>allowance</t>
        </is>
      </c>
      <c r="AT15" s="32" cm="1">
        <f t="array" ref="AT15">IFERROR(INDEX(_xlfn.ANCHORARRAY(AF13),4,1),NA())</f>
        <v/>
      </c>
      <c r="AU15" s="32" cm="1">
        <f t="array" ref="AU15">IFERROR(INDEX(_xlfn.ANCHORARRAY(AF13),4,2),NA())</f>
        <v/>
      </c>
      <c r="AV15" s="32" cm="1">
        <f t="array" ref="AV15">IFERROR(INDEX(_xlfn.ANCHORARRAY(AF13),4,3),NA())</f>
        <v/>
      </c>
      <c r="AW15" s="32" cm="1">
        <f t="array" ref="AW15">IFERROR(INDEX(_xlfn.ANCHORARRAY(AF13),4,4),NA())</f>
        <v/>
      </c>
      <c r="AX15" s="32" cm="1">
        <f t="array" ref="AX15">IFERROR(INDEX(_xlfn.ANCHORARRAY(AF13),4,5),NA())</f>
        <v/>
      </c>
      <c r="AZ15" s="32" cm="1">
        <f t="array" ref="AZ15">IFERROR(INDEX(_xlfn.ANCHORARRAY(Z13),4,1),NA())</f>
        <v/>
      </c>
      <c r="BA15" s="32" cm="1">
        <f t="array" ref="BA15">IFERROR(INDEX(_xlfn.ANCHORARRAY(Z13),4,2),NA())</f>
        <v/>
      </c>
      <c r="BB15" s="32" cm="1">
        <f t="array" ref="BB15">IFERROR(INDEX(_xlfn.ANCHORARRAY(Z13),4,3),NA())</f>
        <v/>
      </c>
    </row>
    <row r="16" ht="14" customHeight="1">
      <c r="B16" s="35" t="inlineStr">
        <is>
          <t>Δg+ψl·q</t>
        </is>
      </c>
      <c r="D16" s="36" t="inlineStr">
        <is>
          <t>Long term</t>
        </is>
      </c>
      <c r="E16" s="37" cm="1">
        <f t="array" ref="E16">INDEX(_xlfn.ANCHORARRAY(B93),2,2)</f>
        <v/>
      </c>
      <c r="F16" s="37">
        <f>IF(N(E38)=0,"",IF(N(F38)=0,Span/E38,MIN(Span/E38,F38)))</f>
        <v/>
      </c>
      <c r="G16" s="38" t="inlineStr">
        <is>
          <t>mm</t>
        </is>
      </c>
      <c r="H16" s="39">
        <f>IF(N(E16)=0,"",Span/E16)</f>
        <v/>
      </c>
      <c r="I16" s="40">
        <f>IF(OR(E16="",N(F16)=0),"",ABS(E16)/F16)</f>
        <v/>
      </c>
      <c r="J16" s="41">
        <f>IF(I16="","–",IF(I16&lt;=1,"OK","NG"))</f>
        <v/>
      </c>
      <c r="M16" s="22" t="n"/>
      <c r="N16" s="23" t="n"/>
      <c r="O16" s="23" t="n"/>
      <c r="P16" s="23" t="n"/>
      <c r="Q16" s="23" t="n"/>
      <c r="R16" s="23" t="n"/>
      <c r="S16" s="23" t="n"/>
      <c r="T16" s="24" t="n"/>
      <c r="AN16" s="20" t="inlineStr">
        <is>
          <t>1000WB296</t>
        </is>
      </c>
      <c r="AP16" s="2" t="inlineStr">
        <is>
          <t>G</t>
        </is>
      </c>
      <c r="AQ16" s="5" t="inlineStr">
        <is>
          <t>Typical floor (60 kg/m²)</t>
        </is>
      </c>
      <c r="AR16" s="30" t="n">
        <v>0.589</v>
      </c>
      <c r="AS16" s="31" t="inlineStr">
        <is>
          <t>60 kg/m² x 9.81</t>
        </is>
      </c>
      <c r="AT16" s="32" cm="1">
        <f t="array" ref="AT16">IFERROR(INDEX(_xlfn.ANCHORARRAY(AF13),5,1),NA())</f>
        <v/>
      </c>
      <c r="AU16" s="32" cm="1">
        <f t="array" ref="AU16">IFERROR(INDEX(_xlfn.ANCHORARRAY(AF13),5,2),NA())</f>
        <v/>
      </c>
      <c r="AV16" s="32" cm="1">
        <f t="array" ref="AV16">IFERROR(INDEX(_xlfn.ANCHORARRAY(AF13),5,3),NA())</f>
        <v/>
      </c>
      <c r="AW16" s="32" cm="1">
        <f t="array" ref="AW16">IFERROR(INDEX(_xlfn.ANCHORARRAY(AF13),5,4),NA())</f>
        <v/>
      </c>
      <c r="AX16" s="32" cm="1">
        <f t="array" ref="AX16">IFERROR(INDEX(_xlfn.ANCHORARRAY(AF13),5,5),NA())</f>
        <v/>
      </c>
      <c r="AZ16" s="32" cm="1">
        <f t="array" ref="AZ16">IFERROR(INDEX(_xlfn.ANCHORARRAY(Z13),5,1),NA())</f>
        <v/>
      </c>
      <c r="BA16" s="32" cm="1">
        <f t="array" ref="BA16">IFERROR(INDEX(_xlfn.ANCHORARRAY(Z13),5,2),NA())</f>
        <v/>
      </c>
      <c r="BB16" s="32" cm="1">
        <f t="array" ref="BB16">IFERROR(INDEX(_xlfn.ANCHORARRAY(Z13),5,3),NA())</f>
        <v/>
      </c>
    </row>
    <row r="17" ht="14" customHeight="1">
      <c r="B17" s="35" t="inlineStr">
        <is>
          <t>Δg+ψs·q</t>
        </is>
      </c>
      <c r="D17" s="36" t="inlineStr">
        <is>
          <t>Short term</t>
        </is>
      </c>
      <c r="E17" s="37" cm="1">
        <f t="array" ref="E17">INDEX(_xlfn.ANCHORARRAY(B93),3,2)</f>
        <v/>
      </c>
      <c r="F17" s="37">
        <f>IF(N(E39)=0,"",IF(N(F39)=0,Span/E39,MIN(Span/E39,F39)))</f>
        <v/>
      </c>
      <c r="G17" s="38" t="inlineStr">
        <is>
          <t>mm</t>
        </is>
      </c>
      <c r="H17" s="39">
        <f>IF(N(E17)=0,"",Span/E17)</f>
        <v/>
      </c>
      <c r="I17" s="40">
        <f>IF(OR(E17="",N(F17)=0),"",ABS(E17)/F17)</f>
        <v/>
      </c>
      <c r="J17" s="41">
        <f>IF(I17="","–",IF(I17&lt;=1,"OK","NG"))</f>
        <v/>
      </c>
      <c r="M17" s="22" t="n"/>
      <c r="N17" s="23" t="n"/>
      <c r="O17" s="23" t="n"/>
      <c r="P17" s="23" t="n"/>
      <c r="Q17" s="23" t="n"/>
      <c r="R17" s="23" t="n"/>
      <c r="S17" s="23" t="n"/>
      <c r="T17" s="24" t="n"/>
      <c r="AN17" s="20" t="inlineStr">
        <is>
          <t>1000WB258</t>
        </is>
      </c>
      <c r="AP17" s="2" t="inlineStr">
        <is>
          <t>G</t>
        </is>
      </c>
      <c r="AQ17" s="5" t="inlineStr">
        <is>
          <t>RC slab – per 100 mm (25 kN/m³)</t>
        </is>
      </c>
      <c r="AR17" s="30" t="n">
        <v>2.5</v>
      </c>
      <c r="AS17" s="31" t="inlineStr">
        <is>
          <t>scale by thickness / 100</t>
        </is>
      </c>
      <c r="AT17" s="32" cm="1">
        <f t="array" ref="AT17">IFERROR(INDEX(_xlfn.ANCHORARRAY(AF13),6,1),NA())</f>
        <v/>
      </c>
      <c r="AU17" s="32" cm="1">
        <f t="array" ref="AU17">IFERROR(INDEX(_xlfn.ANCHORARRAY(AF13),6,2),NA())</f>
        <v/>
      </c>
      <c r="AV17" s="32" cm="1">
        <f t="array" ref="AV17">IFERROR(INDEX(_xlfn.ANCHORARRAY(AF13),6,3),NA())</f>
        <v/>
      </c>
      <c r="AW17" s="32" cm="1">
        <f t="array" ref="AW17">IFERROR(INDEX(_xlfn.ANCHORARRAY(AF13),6,4),NA())</f>
        <v/>
      </c>
      <c r="AX17" s="32" cm="1">
        <f t="array" ref="AX17">IFERROR(INDEX(_xlfn.ANCHORARRAY(AF13),6,5),NA())</f>
        <v/>
      </c>
      <c r="AZ17" s="32" cm="1">
        <f t="array" ref="AZ17">IFERROR(INDEX(_xlfn.ANCHORARRAY(Z13),6,1),NA())</f>
        <v/>
      </c>
      <c r="BA17" s="32" cm="1">
        <f t="array" ref="BA17">IFERROR(INDEX(_xlfn.ANCHORARRAY(Z13),6,2),NA())</f>
        <v/>
      </c>
      <c r="BB17" s="32" cm="1">
        <f t="array" ref="BB17">IFERROR(INDEX(_xlfn.ANCHORARRAY(Z13),6,3),NA())</f>
        <v/>
      </c>
    </row>
    <row r="18" ht="14" customHeight="1">
      <c r="B18" s="35" t="inlineStr">
        <is>
          <t>Δq</t>
        </is>
      </c>
      <c r="D18" s="36" t="inlineStr">
        <is>
          <t>Live load only</t>
        </is>
      </c>
      <c r="E18" s="37" cm="1">
        <f t="array" ref="E18">INDEX(_xlfn.ANCHORARRAY(B93),4,2)</f>
        <v/>
      </c>
      <c r="F18" s="37">
        <f>IF(N(E40)=0,"",IF(N(F40)=0,Span/E40,MIN(Span/E40,F40)))</f>
        <v/>
      </c>
      <c r="G18" s="38" t="inlineStr">
        <is>
          <t>mm</t>
        </is>
      </c>
      <c r="H18" s="39">
        <f>IF(N(E18)=0,"",Span/E18)</f>
        <v/>
      </c>
      <c r="I18" s="40">
        <f>IF(OR(E18="",N(F18)=0),"",ABS(E18)/F18)</f>
        <v/>
      </c>
      <c r="J18" s="41">
        <f>IF(I18="","–",IF(I18&lt;=1,"OK","NG"))</f>
        <v/>
      </c>
      <c r="M18" s="22" t="n"/>
      <c r="N18" s="23" t="n"/>
      <c r="O18" s="23" t="n"/>
      <c r="P18" s="23" t="n"/>
      <c r="Q18" s="23" t="n"/>
      <c r="R18" s="23" t="n"/>
      <c r="S18" s="23" t="n"/>
      <c r="T18" s="24" t="n"/>
      <c r="AN18" s="20" t="inlineStr">
        <is>
          <t>1000WB215</t>
        </is>
      </c>
      <c r="AP18" s="2" t="inlineStr">
        <is>
          <t>G</t>
        </is>
      </c>
      <c r="AQ18" s="5" t="inlineStr">
        <is>
          <t>Partitions allowance</t>
        </is>
      </c>
      <c r="AR18" s="30" t="n">
        <v>1</v>
      </c>
      <c r="AS18" s="31" t="inlineStr">
        <is>
          <t>allowance – check AS/NZS 1170.1</t>
        </is>
      </c>
      <c r="AT18" s="32" cm="1">
        <f t="array" ref="AT18">IFERROR(INDEX(_xlfn.ANCHORARRAY(AF13),7,1),NA())</f>
        <v/>
      </c>
      <c r="AU18" s="32" cm="1">
        <f t="array" ref="AU18">IFERROR(INDEX(_xlfn.ANCHORARRAY(AF13),7,2),NA())</f>
        <v/>
      </c>
      <c r="AV18" s="32" cm="1">
        <f t="array" ref="AV18">IFERROR(INDEX(_xlfn.ANCHORARRAY(AF13),7,3),NA())</f>
        <v/>
      </c>
      <c r="AW18" s="32" cm="1">
        <f t="array" ref="AW18">IFERROR(INDEX(_xlfn.ANCHORARRAY(AF13),7,4),NA())</f>
        <v/>
      </c>
      <c r="AX18" s="32" cm="1">
        <f t="array" ref="AX18">IFERROR(INDEX(_xlfn.ANCHORARRAY(AF13),7,5),NA())</f>
        <v/>
      </c>
      <c r="AZ18" s="32" cm="1">
        <f t="array" ref="AZ18">IFERROR(INDEX(_xlfn.ANCHORARRAY(Z13),7,1),NA())</f>
        <v/>
      </c>
      <c r="BA18" s="32" cm="1">
        <f t="array" ref="BA18">IFERROR(INDEX(_xlfn.ANCHORARRAY(Z13),7,2),NA())</f>
        <v/>
      </c>
      <c r="BB18" s="32" cm="1">
        <f t="array" ref="BB18">IFERROR(INDEX(_xlfn.ANCHORARRAY(Z13),7,3),NA())</f>
        <v/>
      </c>
    </row>
    <row r="19" ht="14" customHeight="1">
      <c r="B19" s="35" t="inlineStr">
        <is>
          <t>Δ1kN</t>
        </is>
      </c>
      <c r="D19" s="36" t="inlineStr">
        <is>
          <t>1 kN at midspan</t>
        </is>
      </c>
      <c r="E19" s="37" cm="1">
        <f t="array" ref="E19">INDEX(_xlfn.ANCHORARRAY(B93),5,2)</f>
        <v/>
      </c>
      <c r="F19" s="37">
        <f>IF(N(E41)=0,"",IF(N(F41)=0,Span/E41,MIN(Span/E41,F41)))</f>
        <v/>
      </c>
      <c r="G19" s="38" t="inlineStr">
        <is>
          <t>mm</t>
        </is>
      </c>
      <c r="H19" s="39">
        <f>IF(N(E19)=0,"",Span/E19)</f>
        <v/>
      </c>
      <c r="I19" s="40">
        <f>IF(OR(E19="",N(F19)=0),"",ABS(E19)/F19)</f>
        <v/>
      </c>
      <c r="J19" s="41">
        <f>IF(I19="","–",IF(I19&lt;=1,"OK","NG"))</f>
        <v/>
      </c>
      <c r="M19" s="22" t="n"/>
      <c r="N19" s="23" t="n"/>
      <c r="O19" s="23" t="n"/>
      <c r="P19" s="23" t="n"/>
      <c r="Q19" s="23" t="n"/>
      <c r="R19" s="23" t="n"/>
      <c r="S19" s="23" t="n"/>
      <c r="T19" s="24" t="n"/>
      <c r="AN19" s="20" t="inlineStr">
        <is>
          <t>900WB282</t>
        </is>
      </c>
      <c r="AP19" s="2" t="inlineStr">
        <is>
          <t>Q</t>
        </is>
      </c>
      <c r="AQ19" s="5" t="inlineStr">
        <is>
          <t>Roof – non-trafficable</t>
        </is>
      </c>
      <c r="AR19" s="30" t="n">
        <v>0.25</v>
      </c>
      <c r="AS19" s="31" t="inlineStr">
        <is>
          <t>AS/NZS 1170.1 Cl. 3.5.1: 0.12 + 1.2/A ≥ 0.25 kPa</t>
        </is>
      </c>
      <c r="AT19" s="32" cm="1">
        <f t="array" ref="AT19">IFERROR(INDEX(_xlfn.ANCHORARRAY(AF13),8,1),NA())</f>
        <v/>
      </c>
      <c r="AU19" s="32" cm="1">
        <f t="array" ref="AU19">IFERROR(INDEX(_xlfn.ANCHORARRAY(AF13),8,2),NA())</f>
        <v/>
      </c>
      <c r="AV19" s="32" cm="1">
        <f t="array" ref="AV19">IFERROR(INDEX(_xlfn.ANCHORARRAY(AF13),8,3),NA())</f>
        <v/>
      </c>
      <c r="AW19" s="32" cm="1">
        <f t="array" ref="AW19">IFERROR(INDEX(_xlfn.ANCHORARRAY(AF13),8,4),NA())</f>
        <v/>
      </c>
      <c r="AX19" s="32" cm="1">
        <f t="array" ref="AX19">IFERROR(INDEX(_xlfn.ANCHORARRAY(AF13),8,5),NA())</f>
        <v/>
      </c>
      <c r="AZ19" s="32" cm="1">
        <f t="array" ref="AZ19">IFERROR(INDEX(_xlfn.ANCHORARRAY(Z13),8,1),NA())</f>
        <v/>
      </c>
      <c r="BA19" s="32" cm="1">
        <f t="array" ref="BA19">IFERROR(INDEX(_xlfn.ANCHORARRAY(Z13),8,2),NA())</f>
        <v/>
      </c>
      <c r="BB19" s="32" cm="1">
        <f t="array" ref="BB19">IFERROR(INDEX(_xlfn.ANCHORARRAY(Z13),8,3),NA())</f>
        <v/>
      </c>
    </row>
    <row r="20" ht="14" customHeight="1">
      <c r="B20" s="33" t="inlineStr">
        <is>
          <t>Strength</t>
        </is>
      </c>
      <c r="C20" s="34" t="n"/>
      <c r="D20" s="34" t="n"/>
      <c r="E20" s="34" t="n"/>
      <c r="F20" s="34" t="n"/>
      <c r="G20" s="34" t="n"/>
      <c r="H20" s="34" t="n"/>
      <c r="I20" s="34" t="n"/>
      <c r="J20" s="34" t="n"/>
      <c r="M20" s="22" t="n"/>
      <c r="N20" s="23" t="n"/>
      <c r="O20" s="23" t="n"/>
      <c r="P20" s="23" t="n"/>
      <c r="Q20" s="23" t="n"/>
      <c r="R20" s="23" t="n"/>
      <c r="S20" s="23" t="n"/>
      <c r="T20" s="24" t="n"/>
      <c r="AN20" s="20" t="inlineStr">
        <is>
          <t>900WB257</t>
        </is>
      </c>
      <c r="AP20" s="2" t="inlineStr">
        <is>
          <t>Q</t>
        </is>
      </c>
      <c r="AQ20" s="5" t="inlineStr">
        <is>
          <t>Residential – habitable areas</t>
        </is>
      </c>
      <c r="AR20" s="30" t="n">
        <v>1.5</v>
      </c>
      <c r="AS20" s="31" t="inlineStr">
        <is>
          <t>AS/NZS 1170.1 Table 3.1 – verify category</t>
        </is>
      </c>
      <c r="AT20" s="32" cm="1">
        <f t="array" ref="AT20">IFERROR(INDEX(_xlfn.ANCHORARRAY(AF13),9,1),NA())</f>
        <v/>
      </c>
      <c r="AU20" s="32" cm="1">
        <f t="array" ref="AU20">IFERROR(INDEX(_xlfn.ANCHORARRAY(AF13),9,2),NA())</f>
        <v/>
      </c>
      <c r="AV20" s="32" cm="1">
        <f t="array" ref="AV20">IFERROR(INDEX(_xlfn.ANCHORARRAY(AF13),9,3),NA())</f>
        <v/>
      </c>
      <c r="AW20" s="32" cm="1">
        <f t="array" ref="AW20">IFERROR(INDEX(_xlfn.ANCHORARRAY(AF13),9,4),NA())</f>
        <v/>
      </c>
      <c r="AX20" s="32" cm="1">
        <f t="array" ref="AX20">IFERROR(INDEX(_xlfn.ANCHORARRAY(AF13),9,5),NA())</f>
        <v/>
      </c>
      <c r="AZ20" s="32" cm="1">
        <f t="array" ref="AZ20">IFERROR(INDEX(_xlfn.ANCHORARRAY(Z13),9,1),NA())</f>
        <v/>
      </c>
      <c r="BA20" s="32" cm="1">
        <f t="array" ref="BA20">IFERROR(INDEX(_xlfn.ANCHORARRAY(Z13),9,2),NA())</f>
        <v/>
      </c>
      <c r="BB20" s="32" cm="1">
        <f t="array" ref="BB20">IFERROR(INDEX(_xlfn.ANCHORARRAY(Z13),9,3),NA())</f>
        <v/>
      </c>
    </row>
    <row r="21" ht="14" customHeight="1">
      <c r="B21" s="35" t="inlineStr">
        <is>
          <t>M* / φMbx</t>
        </is>
      </c>
      <c r="D21" s="36" t="inlineStr">
        <is>
          <t>Bending – gravity (top flange critical)</t>
        </is>
      </c>
      <c r="E21" s="42" cm="1">
        <f t="array" ref="E21">INDEX(_xlfn.ANCHORARRAY(Z8),1,2)</f>
        <v/>
      </c>
      <c r="F21" s="42" cm="1">
        <f t="array" ref="F21">INDEX(_xlfn.ANCHORARRAY(Z8),1,3)</f>
        <v/>
      </c>
      <c r="G21" s="38" t="inlineStr">
        <is>
          <t>kN·m</t>
        </is>
      </c>
      <c r="H21" s="19" t="inlineStr"/>
      <c r="I21" s="40">
        <f>IF(OR(E21="",N(F21)=0),"",ABS(E21)/F21)</f>
        <v/>
      </c>
      <c r="J21" s="41">
        <f>IF(I21="","–",IF(I21&lt;=1,"OK","NG"))</f>
        <v/>
      </c>
      <c r="M21" s="22" t="n"/>
      <c r="N21" s="23" t="n"/>
      <c r="O21" s="23" t="n"/>
      <c r="P21" s="23" t="n"/>
      <c r="Q21" s="23" t="n"/>
      <c r="R21" s="23" t="n"/>
      <c r="S21" s="23" t="n"/>
      <c r="T21" s="24" t="n"/>
      <c r="AN21" s="20" t="inlineStr">
        <is>
          <t>900WB218</t>
        </is>
      </c>
      <c r="AP21" s="2" t="inlineStr">
        <is>
          <t>Q</t>
        </is>
      </c>
      <c r="AQ21" s="5" t="inlineStr">
        <is>
          <t>Residential – balconies</t>
        </is>
      </c>
      <c r="AR21" s="30" t="n">
        <v>2</v>
      </c>
      <c r="AS21" s="31" t="inlineStr">
        <is>
          <t>AS/NZS 1170.1 Table 3.1 – verify category</t>
        </is>
      </c>
      <c r="AT21" s="32" cm="1">
        <f t="array" ref="AT21">IFERROR(INDEX(_xlfn.ANCHORARRAY(AF13),10,1),NA())</f>
        <v/>
      </c>
      <c r="AU21" s="32" cm="1">
        <f t="array" ref="AU21">IFERROR(INDEX(_xlfn.ANCHORARRAY(AF13),10,2),NA())</f>
        <v/>
      </c>
      <c r="AV21" s="32" cm="1">
        <f t="array" ref="AV21">IFERROR(INDEX(_xlfn.ANCHORARRAY(AF13),10,3),NA())</f>
        <v/>
      </c>
      <c r="AW21" s="32" cm="1">
        <f t="array" ref="AW21">IFERROR(INDEX(_xlfn.ANCHORARRAY(AF13),10,4),NA())</f>
        <v/>
      </c>
      <c r="AX21" s="32" cm="1">
        <f t="array" ref="AX21">IFERROR(INDEX(_xlfn.ANCHORARRAY(AF13),10,5),NA())</f>
        <v/>
      </c>
      <c r="AZ21" s="32" cm="1">
        <f t="array" ref="AZ21">IFERROR(INDEX(_xlfn.ANCHORARRAY(Z13),10,1),NA())</f>
        <v/>
      </c>
      <c r="BA21" s="32" cm="1">
        <f t="array" ref="BA21">IFERROR(INDEX(_xlfn.ANCHORARRAY(Z13),10,2),NA())</f>
        <v/>
      </c>
      <c r="BB21" s="32" cm="1">
        <f t="array" ref="BB21">IFERROR(INDEX(_xlfn.ANCHORARRAY(Z13),10,3),NA())</f>
        <v/>
      </c>
    </row>
    <row r="22" ht="14" customHeight="1">
      <c r="B22" s="35" t="inlineStr">
        <is>
          <t>M* / φMbx</t>
        </is>
      </c>
      <c r="D22" s="36">
        <f>IF(NumUpliftCombos=0,"Bending – uplift (no uplift combinations)","Bending – uplift (bottom flange critical)")</f>
        <v/>
      </c>
      <c r="E22" s="42" cm="1">
        <f t="array" ref="E22">INDEX(_xlfn.ANCHORARRAY(Z8),2,2)</f>
        <v/>
      </c>
      <c r="F22" s="42" cm="1">
        <f t="array" ref="F22">INDEX(_xlfn.ANCHORARRAY(Z8),2,3)</f>
        <v/>
      </c>
      <c r="G22" s="38" t="inlineStr">
        <is>
          <t>kN·m</t>
        </is>
      </c>
      <c r="H22" s="19" t="inlineStr"/>
      <c r="I22" s="40">
        <f>IF(OR(E22="",N(F22)=0),"",ABS(E22)/F22)</f>
        <v/>
      </c>
      <c r="J22" s="41">
        <f>IF(I22="","–",IF(I22&lt;=1,"OK","NG"))</f>
        <v/>
      </c>
      <c r="M22" s="22" t="n"/>
      <c r="N22" s="23" t="n"/>
      <c r="O22" s="23" t="n"/>
      <c r="P22" s="23" t="n"/>
      <c r="Q22" s="23" t="n"/>
      <c r="R22" s="23" t="n"/>
      <c r="S22" s="23" t="n"/>
      <c r="T22" s="24" t="n"/>
      <c r="AN22" s="20" t="inlineStr">
        <is>
          <t>900WB175</t>
        </is>
      </c>
      <c r="AP22" s="2" t="inlineStr">
        <is>
          <t>Q</t>
        </is>
      </c>
      <c r="AQ22" s="5" t="inlineStr">
        <is>
          <t>Offices – general use</t>
        </is>
      </c>
      <c r="AR22" s="30" t="n">
        <v>3</v>
      </c>
      <c r="AS22" s="31" t="inlineStr">
        <is>
          <t>AS/NZS 1170.1 Table 3.1 – verify category</t>
        </is>
      </c>
      <c r="AT22" s="32" cm="1">
        <f t="array" ref="AT22">IFERROR(INDEX(_xlfn.ANCHORARRAY(AF13),11,1),NA())</f>
        <v/>
      </c>
      <c r="AU22" s="32" cm="1">
        <f t="array" ref="AU22">IFERROR(INDEX(_xlfn.ANCHORARRAY(AF13),11,2),NA())</f>
        <v/>
      </c>
      <c r="AV22" s="32" cm="1">
        <f t="array" ref="AV22">IFERROR(INDEX(_xlfn.ANCHORARRAY(AF13),11,3),NA())</f>
        <v/>
      </c>
      <c r="AW22" s="32" cm="1">
        <f t="array" ref="AW22">IFERROR(INDEX(_xlfn.ANCHORARRAY(AF13),11,4),NA())</f>
        <v/>
      </c>
      <c r="AX22" s="32" cm="1">
        <f t="array" ref="AX22">IFERROR(INDEX(_xlfn.ANCHORARRAY(AF13),11,5),NA())</f>
        <v/>
      </c>
      <c r="AZ22" s="32" cm="1">
        <f t="array" ref="AZ22">IFERROR(INDEX(_xlfn.ANCHORARRAY(Z13),11,1),NA())</f>
        <v/>
      </c>
      <c r="BA22" s="32" cm="1">
        <f t="array" ref="BA22">IFERROR(INDEX(_xlfn.ANCHORARRAY(Z13),11,2),NA())</f>
        <v/>
      </c>
      <c r="BB22" s="32" cm="1">
        <f t="array" ref="BB22">IFERROR(INDEX(_xlfn.ANCHORARRAY(Z13),11,3),NA())</f>
        <v/>
      </c>
    </row>
    <row r="23" ht="14" customHeight="1">
      <c r="B23" s="35" t="inlineStr">
        <is>
          <t>V* / φVv</t>
        </is>
      </c>
      <c r="D23" s="36" t="inlineStr">
        <is>
          <t>Shear</t>
        </is>
      </c>
      <c r="E23" s="42" cm="1">
        <f t="array" ref="E23">INDEX(_xlfn.ANCHORARRAY(Z8),3,2)</f>
        <v/>
      </c>
      <c r="F23" s="42" cm="1">
        <f t="array" ref="F23">INDEX(_xlfn.ANCHORARRAY(Z8),3,3)</f>
        <v/>
      </c>
      <c r="G23" s="38" t="inlineStr">
        <is>
          <t>kN</t>
        </is>
      </c>
      <c r="H23" s="19" t="inlineStr"/>
      <c r="I23" s="40">
        <f>IF(OR(E23="",N(F23)=0),"",ABS(E23)/F23)</f>
        <v/>
      </c>
      <c r="J23" s="41">
        <f>IF(I23="","–",IF(I23&lt;=1,"OK","NG"))</f>
        <v/>
      </c>
      <c r="M23" s="22" t="n"/>
      <c r="N23" s="23" t="n"/>
      <c r="O23" s="23" t="n"/>
      <c r="P23" s="23" t="n"/>
      <c r="Q23" s="23" t="n"/>
      <c r="R23" s="23" t="n"/>
      <c r="S23" s="23" t="n"/>
      <c r="T23" s="24" t="n"/>
      <c r="AN23" s="20" t="inlineStr">
        <is>
          <t>800WB192</t>
        </is>
      </c>
      <c r="AP23" s="2" t="inlineStr">
        <is>
          <t>Q</t>
        </is>
      </c>
      <c r="AQ23" s="5" t="inlineStr">
        <is>
          <t>Retail</t>
        </is>
      </c>
      <c r="AR23" s="30" t="n">
        <v>4</v>
      </c>
      <c r="AS23" s="31" t="inlineStr">
        <is>
          <t>AS/NZS 1170.1 Table 3.1 – verify category</t>
        </is>
      </c>
      <c r="AT23" s="32" cm="1">
        <f t="array" ref="AT23">IFERROR(INDEX(_xlfn.ANCHORARRAY(AF13),12,1),NA())</f>
        <v/>
      </c>
      <c r="AU23" s="32" cm="1">
        <f t="array" ref="AU23">IFERROR(INDEX(_xlfn.ANCHORARRAY(AF13),12,2),NA())</f>
        <v/>
      </c>
      <c r="AV23" s="32" cm="1">
        <f t="array" ref="AV23">IFERROR(INDEX(_xlfn.ANCHORARRAY(AF13),12,3),NA())</f>
        <v/>
      </c>
      <c r="AW23" s="32" cm="1">
        <f t="array" ref="AW23">IFERROR(INDEX(_xlfn.ANCHORARRAY(AF13),12,4),NA())</f>
        <v/>
      </c>
      <c r="AX23" s="32" cm="1">
        <f t="array" ref="AX23">IFERROR(INDEX(_xlfn.ANCHORARRAY(AF13),12,5),NA())</f>
        <v/>
      </c>
      <c r="AZ23" s="32" cm="1">
        <f t="array" ref="AZ23">IFERROR(INDEX(_xlfn.ANCHORARRAY(Z13),12,1),NA())</f>
        <v/>
      </c>
      <c r="BA23" s="32" cm="1">
        <f t="array" ref="BA23">IFERROR(INDEX(_xlfn.ANCHORARRAY(Z13),12,2),NA())</f>
        <v/>
      </c>
      <c r="BB23" s="32" cm="1">
        <f t="array" ref="BB23">IFERROR(INDEX(_xlfn.ANCHORARRAY(Z13),12,3),NA())</f>
        <v/>
      </c>
    </row>
    <row r="24" ht="14" customHeight="1">
      <c r="M24" s="22" t="n"/>
      <c r="N24" s="23" t="n"/>
      <c r="O24" s="23" t="n"/>
      <c r="P24" s="23" t="n"/>
      <c r="Q24" s="23" t="n"/>
      <c r="R24" s="23" t="n"/>
      <c r="S24" s="23" t="n"/>
      <c r="T24" s="24" t="n"/>
      <c r="AN24" s="20" t="inlineStr">
        <is>
          <t>800WB168</t>
        </is>
      </c>
      <c r="AP24" s="2" t="inlineStr">
        <is>
          <t>Q</t>
        </is>
      </c>
      <c r="AQ24" s="5" t="inlineStr">
        <is>
          <t>Assembly / crowds</t>
        </is>
      </c>
      <c r="AR24" s="30" t="n">
        <v>5</v>
      </c>
      <c r="AS24" s="31" t="inlineStr">
        <is>
          <t>AS/NZS 1170.1 Table 3.1 – verify category</t>
        </is>
      </c>
      <c r="AT24" s="32" cm="1">
        <f t="array" ref="AT24">IFERROR(INDEX(_xlfn.ANCHORARRAY(AF13),13,1),NA())</f>
        <v/>
      </c>
      <c r="AU24" s="32" cm="1">
        <f t="array" ref="AU24">IFERROR(INDEX(_xlfn.ANCHORARRAY(AF13),13,2),NA())</f>
        <v/>
      </c>
      <c r="AV24" s="32" cm="1">
        <f t="array" ref="AV24">IFERROR(INDEX(_xlfn.ANCHORARRAY(AF13),13,3),NA())</f>
        <v/>
      </c>
      <c r="AW24" s="32" cm="1">
        <f t="array" ref="AW24">IFERROR(INDEX(_xlfn.ANCHORARRAY(AF13),13,4),NA())</f>
        <v/>
      </c>
      <c r="AX24" s="32" cm="1">
        <f t="array" ref="AX24">IFERROR(INDEX(_xlfn.ANCHORARRAY(AF13),13,5),NA())</f>
        <v/>
      </c>
      <c r="AZ24" s="32" cm="1">
        <f t="array" ref="AZ24">IFERROR(INDEX(_xlfn.ANCHORARRAY(Z13),13,1),NA())</f>
        <v/>
      </c>
      <c r="BA24" s="32" cm="1">
        <f t="array" ref="BA24">IFERROR(INDEX(_xlfn.ANCHORARRAY(Z13),13,2),NA())</f>
        <v/>
      </c>
      <c r="BB24" s="32" cm="1">
        <f t="array" ref="BB24">IFERROR(INDEX(_xlfn.ANCHORARRAY(Z13),13,3),NA())</f>
        <v/>
      </c>
    </row>
    <row r="25" ht="20" customHeight="1">
      <c r="B25" s="10" t="inlineStr">
        <is>
          <t>Geometry and Section</t>
        </is>
      </c>
      <c r="C25" s="11" t="n"/>
      <c r="D25" s="11" t="n"/>
      <c r="E25" s="11" t="n"/>
      <c r="F25" s="11" t="n"/>
      <c r="G25" s="11" t="n"/>
      <c r="H25" s="11" t="n"/>
      <c r="I25" s="11" t="n"/>
      <c r="J25" s="11" t="n"/>
      <c r="M25" s="22" t="n"/>
      <c r="N25" s="23" t="n"/>
      <c r="O25" s="23" t="n"/>
      <c r="P25" s="23" t="n"/>
      <c r="Q25" s="23" t="n"/>
      <c r="R25" s="23" t="n"/>
      <c r="S25" s="23" t="n"/>
      <c r="T25" s="24" t="n"/>
      <c r="AN25" s="20" t="inlineStr">
        <is>
          <t>800WB146</t>
        </is>
      </c>
      <c r="AP25" s="2" t="inlineStr">
        <is>
          <t>Q</t>
        </is>
      </c>
      <c r="AQ25" s="5" t="inlineStr">
        <is>
          <t>Car park – light vehicles</t>
        </is>
      </c>
      <c r="AR25" s="30" t="n">
        <v>2.5</v>
      </c>
      <c r="AS25" s="31" t="inlineStr">
        <is>
          <t>AS/NZS 1170.1 Table 3.1 – verify category</t>
        </is>
      </c>
      <c r="AT25" s="32" cm="1">
        <f t="array" ref="AT25">IFERROR(INDEX(_xlfn.ANCHORARRAY(AF13),14,1),NA())</f>
        <v/>
      </c>
      <c r="AU25" s="32" cm="1">
        <f t="array" ref="AU25">IFERROR(INDEX(_xlfn.ANCHORARRAY(AF13),14,2),NA())</f>
        <v/>
      </c>
      <c r="AV25" s="32" cm="1">
        <f t="array" ref="AV25">IFERROR(INDEX(_xlfn.ANCHORARRAY(AF13),14,3),NA())</f>
        <v/>
      </c>
      <c r="AW25" s="32" cm="1">
        <f t="array" ref="AW25">IFERROR(INDEX(_xlfn.ANCHORARRAY(AF13),14,4),NA())</f>
        <v/>
      </c>
      <c r="AX25" s="32" cm="1">
        <f t="array" ref="AX25">IFERROR(INDEX(_xlfn.ANCHORARRAY(AF13),14,5),NA())</f>
        <v/>
      </c>
      <c r="AZ25" s="32" cm="1">
        <f t="array" ref="AZ25">IFERROR(INDEX(_xlfn.ANCHORARRAY(Z13),14,1),NA())</f>
        <v/>
      </c>
      <c r="BA25" s="32" cm="1">
        <f t="array" ref="BA25">IFERROR(INDEX(_xlfn.ANCHORARRAY(Z13),14,2),NA())</f>
        <v/>
      </c>
      <c r="BB25" s="32" cm="1">
        <f t="array" ref="BB25">IFERROR(INDEX(_xlfn.ANCHORARRAY(Z13),14,3),NA())</f>
        <v/>
      </c>
    </row>
    <row r="26" ht="14" customHeight="1">
      <c r="B26" s="43" t="inlineStr">
        <is>
          <t>Section type</t>
        </is>
      </c>
      <c r="E26" s="2" t="inlineStr">
        <is>
          <t>UB</t>
        </is>
      </c>
      <c r="G26" s="44" t="inlineStr">
        <is>
          <t>Section properties (add-in)</t>
        </is>
      </c>
      <c r="M26" s="22" t="n"/>
      <c r="N26" s="23" t="n"/>
      <c r="O26" s="23" t="n"/>
      <c r="P26" s="23" t="n"/>
      <c r="Q26" s="23" t="n"/>
      <c r="R26" s="23" t="n"/>
      <c r="S26" s="23" t="n"/>
      <c r="T26" s="24" t="n"/>
      <c r="AN26" s="20" t="inlineStr">
        <is>
          <t>800WB122</t>
        </is>
      </c>
      <c r="AP26" s="2" t="inlineStr">
        <is>
          <t>Q</t>
        </is>
      </c>
      <c r="AQ26" s="5" t="inlineStr">
        <is>
          <t>Plant room – light</t>
        </is>
      </c>
      <c r="AR26" s="30" t="n">
        <v>5</v>
      </c>
      <c r="AS26" s="31" t="inlineStr">
        <is>
          <t>AS/NZS 1170.1 Table 3.1 – verify category</t>
        </is>
      </c>
      <c r="AT26" s="32" cm="1">
        <f t="array" ref="AT26">IFERROR(INDEX(_xlfn.ANCHORARRAY(AF13),15,1),NA())</f>
        <v/>
      </c>
      <c r="AU26" s="32" cm="1">
        <f t="array" ref="AU26">IFERROR(INDEX(_xlfn.ANCHORARRAY(AF13),15,2),NA())</f>
        <v/>
      </c>
      <c r="AV26" s="32" cm="1">
        <f t="array" ref="AV26">IFERROR(INDEX(_xlfn.ANCHORARRAY(AF13),15,3),NA())</f>
        <v/>
      </c>
      <c r="AW26" s="32" cm="1">
        <f t="array" ref="AW26">IFERROR(INDEX(_xlfn.ANCHORARRAY(AF13),15,4),NA())</f>
        <v/>
      </c>
      <c r="AX26" s="32" cm="1">
        <f t="array" ref="AX26">IFERROR(INDEX(_xlfn.ANCHORARRAY(AF13),15,5),NA())</f>
        <v/>
      </c>
      <c r="AZ26" s="32" cm="1">
        <f t="array" ref="AZ26">IFERROR(INDEX(_xlfn.ANCHORARRAY(Z13),15,1),NA())</f>
        <v/>
      </c>
      <c r="BA26" s="32" cm="1">
        <f t="array" ref="BA26">IFERROR(INDEX(_xlfn.ANCHORARRAY(Z13),15,2),NA())</f>
        <v/>
      </c>
      <c r="BB26" s="32" cm="1">
        <f t="array" ref="BB26">IFERROR(INDEX(_xlfn.ANCHORARRAY(Z13),15,3),NA())</f>
        <v/>
      </c>
    </row>
    <row r="27" ht="14" customHeight="1">
      <c r="B27" s="43" t="inlineStr">
        <is>
          <t>Section size</t>
        </is>
      </c>
      <c r="E27" s="2" t="inlineStr">
        <is>
          <t>310UB40.4</t>
        </is>
      </c>
      <c r="G27" s="45" t="inlineStr">
        <is>
          <t>Mass</t>
        </is>
      </c>
      <c r="H27" s="42" cm="1">
        <f t="array" ref="H27">OAR.SECTION(SectionSize,"Mass",Grade)</f>
        <v/>
      </c>
      <c r="I27" s="46" t="inlineStr">
        <is>
          <t>kg/m</t>
        </is>
      </c>
      <c r="M27" s="22" t="n"/>
      <c r="N27" s="23" t="n"/>
      <c r="O27" s="23" t="n"/>
      <c r="P27" s="23" t="n"/>
      <c r="Q27" s="23" t="n"/>
      <c r="R27" s="23" t="n"/>
      <c r="S27" s="23" t="n"/>
      <c r="T27" s="24" t="n"/>
      <c r="AN27" s="20" t="inlineStr">
        <is>
          <t>700WB173</t>
        </is>
      </c>
      <c r="AP27" s="2" t="inlineStr">
        <is>
          <t>Q</t>
        </is>
      </c>
      <c r="AQ27" s="5" t="inlineStr">
        <is>
          <t>Storage – per metre of height</t>
        </is>
      </c>
      <c r="AR27" s="30" t="n">
        <v>2.4</v>
      </c>
      <c r="AS27" s="31" t="inlineStr">
        <is>
          <t>multiply by storage height</t>
        </is>
      </c>
      <c r="AT27" s="32" cm="1">
        <f t="array" ref="AT27">IFERROR(INDEX(_xlfn.ANCHORARRAY(AF13),16,1),NA())</f>
        <v/>
      </c>
      <c r="AU27" s="32" cm="1">
        <f t="array" ref="AU27">IFERROR(INDEX(_xlfn.ANCHORARRAY(AF13),16,2),NA())</f>
        <v/>
      </c>
      <c r="AV27" s="32" cm="1">
        <f t="array" ref="AV27">IFERROR(INDEX(_xlfn.ANCHORARRAY(AF13),16,3),NA())</f>
        <v/>
      </c>
      <c r="AW27" s="32" cm="1">
        <f t="array" ref="AW27">IFERROR(INDEX(_xlfn.ANCHORARRAY(AF13),16,4),NA())</f>
        <v/>
      </c>
      <c r="AX27" s="32" cm="1">
        <f t="array" ref="AX27">IFERROR(INDEX(_xlfn.ANCHORARRAY(AF13),16,5),NA())</f>
        <v/>
      </c>
      <c r="AZ27" s="32" cm="1">
        <f t="array" ref="AZ27">IFERROR(INDEX(_xlfn.ANCHORARRAY(Z13),16,1),NA())</f>
        <v/>
      </c>
      <c r="BA27" s="32" cm="1">
        <f t="array" ref="BA27">IFERROR(INDEX(_xlfn.ANCHORARRAY(Z13),16,2),NA())</f>
        <v/>
      </c>
      <c r="BB27" s="32" cm="1">
        <f t="array" ref="BB27">IFERROR(INDEX(_xlfn.ANCHORARRAY(Z13),16,3),NA())</f>
        <v/>
      </c>
    </row>
    <row r="28" ht="14" customHeight="1">
      <c r="B28" s="43" t="inlineStr">
        <is>
          <t>Steel grade</t>
        </is>
      </c>
      <c r="E28" s="47" t="n">
        <v>300</v>
      </c>
      <c r="F28" s="46" t="inlineStr">
        <is>
          <t>MPa</t>
        </is>
      </c>
      <c r="G28" s="45" t="inlineStr">
        <is>
          <t>Ix</t>
        </is>
      </c>
      <c r="H28" s="42" cm="1">
        <f t="array" ref="H28">OAR.SECTION(SectionSize,"Ix",Grade)</f>
        <v/>
      </c>
      <c r="I28" s="46" t="inlineStr">
        <is>
          <t>×10⁶ mm⁴</t>
        </is>
      </c>
      <c r="M28" s="22" t="n"/>
      <c r="N28" s="23" t="n"/>
      <c r="O28" s="23" t="n"/>
      <c r="P28" s="23" t="n"/>
      <c r="Q28" s="23" t="n"/>
      <c r="R28" s="23" t="n"/>
      <c r="S28" s="23" t="n"/>
      <c r="T28" s="24" t="n"/>
      <c r="AN28" s="20" t="inlineStr">
        <is>
          <t>700WB150</t>
        </is>
      </c>
      <c r="AP28" s="2" t="inlineStr">
        <is>
          <t>Wd</t>
        </is>
      </c>
      <c r="AQ28" s="5" t="inlineStr">
        <is>
          <t>External wind – downward</t>
        </is>
      </c>
      <c r="AR28" s="30" t="n"/>
      <c r="AS28" s="31" t="inlineStr">
        <is>
          <t>AS/NZS 1170.2 – enter pressure</t>
        </is>
      </c>
      <c r="AT28" s="32" cm="1">
        <f t="array" ref="AT28">IFERROR(INDEX(_xlfn.ANCHORARRAY(AF13),17,1),NA())</f>
        <v/>
      </c>
      <c r="AU28" s="32" cm="1">
        <f t="array" ref="AU28">IFERROR(INDEX(_xlfn.ANCHORARRAY(AF13),17,2),NA())</f>
        <v/>
      </c>
      <c r="AV28" s="32" cm="1">
        <f t="array" ref="AV28">IFERROR(INDEX(_xlfn.ANCHORARRAY(AF13),17,3),NA())</f>
        <v/>
      </c>
      <c r="AW28" s="32" cm="1">
        <f t="array" ref="AW28">IFERROR(INDEX(_xlfn.ANCHORARRAY(AF13),17,4),NA())</f>
        <v/>
      </c>
      <c r="AX28" s="32" cm="1">
        <f t="array" ref="AX28">IFERROR(INDEX(_xlfn.ANCHORARRAY(AF13),17,5),NA())</f>
        <v/>
      </c>
      <c r="AZ28" s="32" cm="1">
        <f t="array" ref="AZ28">IFERROR(INDEX(_xlfn.ANCHORARRAY(Z13),17,1),NA())</f>
        <v/>
      </c>
      <c r="BA28" s="32" cm="1">
        <f t="array" ref="BA28">IFERROR(INDEX(_xlfn.ANCHORARRAY(Z13),17,2),NA())</f>
        <v/>
      </c>
      <c r="BB28" s="32" cm="1">
        <f t="array" ref="BB28">IFERROR(INDEX(_xlfn.ANCHORARRAY(Z13),17,3),NA())</f>
        <v/>
      </c>
    </row>
    <row r="29" ht="14" customHeight="1">
      <c r="B29" s="43" t="inlineStr">
        <is>
          <t>Span (centre to centre of supports)</t>
        </is>
      </c>
      <c r="E29" s="48" t="n">
        <v>8300</v>
      </c>
      <c r="F29" s="46" t="inlineStr">
        <is>
          <t>mm</t>
        </is>
      </c>
      <c r="G29" s="45" t="inlineStr">
        <is>
          <t>Iy</t>
        </is>
      </c>
      <c r="H29" s="37" cm="1">
        <f t="array" ref="H29">OAR.SECTION(SectionSize,"Iy",Grade)</f>
        <v/>
      </c>
      <c r="I29" s="46" t="inlineStr">
        <is>
          <t>×10⁶ mm⁴</t>
        </is>
      </c>
      <c r="M29" s="22" t="n"/>
      <c r="N29" s="23" t="n"/>
      <c r="O29" s="23" t="n"/>
      <c r="P29" s="23" t="n"/>
      <c r="Q29" s="23" t="n"/>
      <c r="R29" s="23" t="n"/>
      <c r="S29" s="23" t="n"/>
      <c r="T29" s="24" t="n"/>
      <c r="AN29" s="20" t="inlineStr">
        <is>
          <t>700WB130</t>
        </is>
      </c>
      <c r="AP29" s="2" t="inlineStr">
        <is>
          <t>Wu</t>
        </is>
      </c>
      <c r="AQ29" s="5" t="inlineStr">
        <is>
          <t>External wind – net uplift</t>
        </is>
      </c>
      <c r="AR29" s="30" t="n"/>
      <c r="AS29" s="31" t="inlineStr">
        <is>
          <t>AS/NZS 1170.2 – enter pressure</t>
        </is>
      </c>
      <c r="AT29" s="32" cm="1">
        <f t="array" ref="AT29">IFERROR(INDEX(_xlfn.ANCHORARRAY(AF13),18,1),NA())</f>
        <v/>
      </c>
      <c r="AU29" s="32" cm="1">
        <f t="array" ref="AU29">IFERROR(INDEX(_xlfn.ANCHORARRAY(AF13),18,2),NA())</f>
        <v/>
      </c>
      <c r="AV29" s="32" cm="1">
        <f t="array" ref="AV29">IFERROR(INDEX(_xlfn.ANCHORARRAY(AF13),18,3),NA())</f>
        <v/>
      </c>
      <c r="AW29" s="32" cm="1">
        <f t="array" ref="AW29">IFERROR(INDEX(_xlfn.ANCHORARRAY(AF13),18,4),NA())</f>
        <v/>
      </c>
      <c r="AX29" s="32" cm="1">
        <f t="array" ref="AX29">IFERROR(INDEX(_xlfn.ANCHORARRAY(AF13),18,5),NA())</f>
        <v/>
      </c>
      <c r="AZ29" s="32" cm="1">
        <f t="array" ref="AZ29">IFERROR(INDEX(_xlfn.ANCHORARRAY(Z13),18,1),NA())</f>
        <v/>
      </c>
      <c r="BA29" s="32" cm="1">
        <f t="array" ref="BA29">IFERROR(INDEX(_xlfn.ANCHORARRAY(Z13),18,2),NA())</f>
        <v/>
      </c>
      <c r="BB29" s="32" cm="1">
        <f t="array" ref="BB29">IFERROR(INDEX(_xlfn.ANCHORARRAY(Z13),18,3),NA())</f>
        <v/>
      </c>
    </row>
    <row r="30" ht="14" customHeight="1">
      <c r="B30" s="43" t="inlineStr">
        <is>
          <t>Support condition</t>
        </is>
      </c>
      <c r="E30" s="5" t="inlineStr">
        <is>
          <t>Simply supported</t>
        </is>
      </c>
      <c r="F30" s="49" t="n"/>
      <c r="G30" s="45" t="inlineStr">
        <is>
          <t>J</t>
        </is>
      </c>
      <c r="H30" s="42" cm="1">
        <f t="array" ref="H30">OAR.SECTION(SectionSize,"J",Grade)</f>
        <v/>
      </c>
      <c r="I30" s="46" t="inlineStr">
        <is>
          <t>×10³ mm⁴</t>
        </is>
      </c>
      <c r="M30" s="22" t="n"/>
      <c r="N30" s="23" t="n"/>
      <c r="O30" s="23" t="n"/>
      <c r="P30" s="23" t="n"/>
      <c r="Q30" s="23" t="n"/>
      <c r="R30" s="23" t="n"/>
      <c r="S30" s="23" t="n"/>
      <c r="T30" s="24" t="n"/>
      <c r="AN30" s="20" t="inlineStr">
        <is>
          <t>700WB115</t>
        </is>
      </c>
      <c r="AP30" s="2" t="inlineStr">
        <is>
          <t>Wid</t>
        </is>
      </c>
      <c r="AQ30" s="5" t="inlineStr">
        <is>
          <t>Internal suction (−cpi)</t>
        </is>
      </c>
      <c r="AR30" s="30" t="n"/>
      <c r="AS30" s="31" t="inlineStr">
        <is>
          <t>AS/NZS 1170.2 – enter pressure</t>
        </is>
      </c>
      <c r="AT30" s="32" cm="1">
        <f t="array" ref="AT30">IFERROR(INDEX(_xlfn.ANCHORARRAY(AF13),19,1),NA())</f>
        <v/>
      </c>
      <c r="AU30" s="32" cm="1">
        <f t="array" ref="AU30">IFERROR(INDEX(_xlfn.ANCHORARRAY(AF13),19,2),NA())</f>
        <v/>
      </c>
      <c r="AV30" s="32" cm="1">
        <f t="array" ref="AV30">IFERROR(INDEX(_xlfn.ANCHORARRAY(AF13),19,3),NA())</f>
        <v/>
      </c>
      <c r="AW30" s="32" cm="1">
        <f t="array" ref="AW30">IFERROR(INDEX(_xlfn.ANCHORARRAY(AF13),19,4),NA())</f>
        <v/>
      </c>
      <c r="AX30" s="32" cm="1">
        <f t="array" ref="AX30">IFERROR(INDEX(_xlfn.ANCHORARRAY(AF13),19,5),NA())</f>
        <v/>
      </c>
      <c r="AZ30" s="32" cm="1">
        <f t="array" ref="AZ30">IFERROR(INDEX(_xlfn.ANCHORARRAY(Z13),19,1),NA())</f>
        <v/>
      </c>
      <c r="BA30" s="32" cm="1">
        <f t="array" ref="BA30">IFERROR(INDEX(_xlfn.ANCHORARRAY(Z13),19,2),NA())</f>
        <v/>
      </c>
      <c r="BB30" s="32" cm="1">
        <f t="array" ref="BB30">IFERROR(INDEX(_xlfn.ANCHORARRAY(Z13),19,3),NA())</f>
        <v/>
      </c>
    </row>
    <row r="31" ht="14" customHeight="1">
      <c r="B31" s="43" t="inlineStr">
        <is>
          <t>Elastic modulus</t>
        </is>
      </c>
      <c r="E31" s="48" t="n">
        <v>200000</v>
      </c>
      <c r="F31" s="46" t="inlineStr">
        <is>
          <t>MPa</t>
        </is>
      </c>
      <c r="G31" s="45" t="inlineStr">
        <is>
          <t>Iw</t>
        </is>
      </c>
      <c r="H31" s="42" cm="1">
        <f t="array" ref="H31">OAR.SECTION(SectionSize,"Iw",Grade)</f>
        <v/>
      </c>
      <c r="I31" s="46" t="inlineStr">
        <is>
          <t>×10⁹ mm⁶</t>
        </is>
      </c>
      <c r="M31" s="22" t="n"/>
      <c r="N31" s="23" t="n"/>
      <c r="O31" s="23" t="n"/>
      <c r="P31" s="23" t="n"/>
      <c r="Q31" s="23" t="n"/>
      <c r="R31" s="23" t="n"/>
      <c r="S31" s="23" t="n"/>
      <c r="T31" s="24" t="n"/>
      <c r="AN31" s="20" t="inlineStr">
        <is>
          <t>760UB244</t>
        </is>
      </c>
      <c r="AP31" s="2" t="inlineStr">
        <is>
          <t>Wiu</t>
        </is>
      </c>
      <c r="AQ31" s="5" t="inlineStr">
        <is>
          <t>Internal pressure (+cpi)</t>
        </is>
      </c>
      <c r="AR31" s="30" t="n"/>
      <c r="AS31" s="31" t="inlineStr">
        <is>
          <t>AS/NZS 1170.2 – enter pressure</t>
        </is>
      </c>
      <c r="AT31" s="32" cm="1">
        <f t="array" ref="AT31">IFERROR(INDEX(_xlfn.ANCHORARRAY(AF13),20,1),NA())</f>
        <v/>
      </c>
      <c r="AU31" s="32" cm="1">
        <f t="array" ref="AU31">IFERROR(INDEX(_xlfn.ANCHORARRAY(AF13),20,2),NA())</f>
        <v/>
      </c>
      <c r="AV31" s="32" cm="1">
        <f t="array" ref="AV31">IFERROR(INDEX(_xlfn.ANCHORARRAY(AF13),20,3),NA())</f>
        <v/>
      </c>
      <c r="AW31" s="32" cm="1">
        <f t="array" ref="AW31">IFERROR(INDEX(_xlfn.ANCHORARRAY(AF13),20,4),NA())</f>
        <v/>
      </c>
      <c r="AX31" s="32" cm="1">
        <f t="array" ref="AX31">IFERROR(INDEX(_xlfn.ANCHORARRAY(AF13),20,5),NA())</f>
        <v/>
      </c>
      <c r="AZ31" s="32" cm="1">
        <f t="array" ref="AZ31">IFERROR(INDEX(_xlfn.ANCHORARRAY(Z13),20,1),NA())</f>
        <v/>
      </c>
      <c r="BA31" s="32" cm="1">
        <f t="array" ref="BA31">IFERROR(INDEX(_xlfn.ANCHORARRAY(Z13),20,2),NA())</f>
        <v/>
      </c>
      <c r="BB31" s="32" cm="1">
        <f t="array" ref="BB31">IFERROR(INDEX(_xlfn.ANCHORARRAY(Z13),20,3),NA())</f>
        <v/>
      </c>
    </row>
    <row r="32" ht="14" customHeight="1">
      <c r="B32" s="43" t="inlineStr">
        <is>
          <t>Include self-weight</t>
        </is>
      </c>
      <c r="E32" s="2" t="inlineStr">
        <is>
          <t>Yes</t>
        </is>
      </c>
      <c r="G32" s="45" t="inlineStr">
        <is>
          <t>Zex</t>
        </is>
      </c>
      <c r="H32" s="50" cm="1">
        <f t="array" ref="H32">OAR.SECTION(SectionSize,"Ze",Grade)</f>
        <v/>
      </c>
      <c r="I32" s="46" t="inlineStr">
        <is>
          <t>×10³ mm³</t>
        </is>
      </c>
      <c r="M32" s="22" t="n"/>
      <c r="N32" s="23" t="n"/>
      <c r="O32" s="23" t="n"/>
      <c r="P32" s="23" t="n"/>
      <c r="Q32" s="23" t="n"/>
      <c r="R32" s="23" t="n"/>
      <c r="S32" s="23" t="n"/>
      <c r="T32" s="24" t="n"/>
      <c r="AN32" s="20" t="inlineStr">
        <is>
          <t>760UB220</t>
        </is>
      </c>
      <c r="AT32" s="32" cm="1">
        <f t="array" ref="AT32">IFERROR(INDEX(_xlfn.ANCHORARRAY(AF13),21,1),NA())</f>
        <v/>
      </c>
      <c r="AU32" s="32" cm="1">
        <f t="array" ref="AU32">IFERROR(INDEX(_xlfn.ANCHORARRAY(AF13),21,2),NA())</f>
        <v/>
      </c>
      <c r="AV32" s="32" cm="1">
        <f t="array" ref="AV32">IFERROR(INDEX(_xlfn.ANCHORARRAY(AF13),21,3),NA())</f>
        <v/>
      </c>
      <c r="AW32" s="32" cm="1">
        <f t="array" ref="AW32">IFERROR(INDEX(_xlfn.ANCHORARRAY(AF13),21,4),NA())</f>
        <v/>
      </c>
      <c r="AX32" s="32" cm="1">
        <f t="array" ref="AX32">IFERROR(INDEX(_xlfn.ANCHORARRAY(AF13),21,5),NA())</f>
        <v/>
      </c>
      <c r="AZ32" s="32" cm="1">
        <f t="array" ref="AZ32">IFERROR(INDEX(_xlfn.ANCHORARRAY(Z13),21,1),NA())</f>
        <v/>
      </c>
      <c r="BA32" s="32" cm="1">
        <f t="array" ref="BA32">IFERROR(INDEX(_xlfn.ANCHORARRAY(Z13),21,2),NA())</f>
        <v/>
      </c>
      <c r="BB32" s="32" cm="1">
        <f t="array" ref="BB32">IFERROR(INDEX(_xlfn.ANCHORARRAY(Z13),21,3),NA())</f>
        <v/>
      </c>
    </row>
    <row r="33" ht="14" customHeight="1">
      <c r="G33" s="45" t="inlineStr">
        <is>
          <t>φMsx</t>
        </is>
      </c>
      <c r="H33" s="42" cm="1">
        <f t="array" ref="H33">OAR.SECTION(SectionSize,"phiMsx",Grade)</f>
        <v/>
      </c>
      <c r="I33" s="46" t="inlineStr">
        <is>
          <t>kN·m</t>
        </is>
      </c>
      <c r="M33" s="22" t="n"/>
      <c r="N33" s="23" t="n"/>
      <c r="O33" s="23" t="n"/>
      <c r="P33" s="23" t="n"/>
      <c r="Q33" s="23" t="n"/>
      <c r="R33" s="23" t="n"/>
      <c r="S33" s="23" t="n"/>
      <c r="T33" s="24" t="n"/>
      <c r="AN33" s="20" t="inlineStr">
        <is>
          <t>760UB197</t>
        </is>
      </c>
      <c r="AT33" s="32" cm="1">
        <f t="array" ref="AT33">IFERROR(INDEX(_xlfn.ANCHORARRAY(AF13),22,1),NA())</f>
        <v/>
      </c>
      <c r="AU33" s="32" cm="1">
        <f t="array" ref="AU33">IFERROR(INDEX(_xlfn.ANCHORARRAY(AF13),22,2),NA())</f>
        <v/>
      </c>
      <c r="AV33" s="32" cm="1">
        <f t="array" ref="AV33">IFERROR(INDEX(_xlfn.ANCHORARRAY(AF13),22,3),NA())</f>
        <v/>
      </c>
      <c r="AW33" s="32" cm="1">
        <f t="array" ref="AW33">IFERROR(INDEX(_xlfn.ANCHORARRAY(AF13),22,4),NA())</f>
        <v/>
      </c>
      <c r="AX33" s="32" cm="1">
        <f t="array" ref="AX33">IFERROR(INDEX(_xlfn.ANCHORARRAY(AF13),22,5),NA())</f>
        <v/>
      </c>
      <c r="AZ33" s="32" cm="1">
        <f t="array" ref="AZ33">IFERROR(INDEX(_xlfn.ANCHORARRAY(Z13),22,1),NA())</f>
        <v/>
      </c>
      <c r="BA33" s="32" cm="1">
        <f t="array" ref="BA33">IFERROR(INDEX(_xlfn.ANCHORARRAY(Z13),22,2),NA())</f>
        <v/>
      </c>
      <c r="BB33" s="32" cm="1">
        <f t="array" ref="BB33">IFERROR(INDEX(_xlfn.ANCHORARRAY(Z13),22,3),NA())</f>
        <v/>
      </c>
    </row>
    <row r="34" ht="14" customHeight="1">
      <c r="M34" s="22" t="n"/>
      <c r="N34" s="23" t="n"/>
      <c r="O34" s="23" t="n"/>
      <c r="P34" s="23" t="n"/>
      <c r="Q34" s="23" t="n"/>
      <c r="R34" s="23" t="n"/>
      <c r="S34" s="23" t="n"/>
      <c r="T34" s="24" t="n"/>
      <c r="AN34" s="20" t="inlineStr">
        <is>
          <t>760UB173</t>
        </is>
      </c>
      <c r="AT34" s="32" cm="1">
        <f t="array" ref="AT34">IFERROR(INDEX(_xlfn.ANCHORARRAY(AF13),23,1),NA())</f>
        <v/>
      </c>
      <c r="AU34" s="32" cm="1">
        <f t="array" ref="AU34">IFERROR(INDEX(_xlfn.ANCHORARRAY(AF13),23,2),NA())</f>
        <v/>
      </c>
      <c r="AV34" s="32" cm="1">
        <f t="array" ref="AV34">IFERROR(INDEX(_xlfn.ANCHORARRAY(AF13),23,3),NA())</f>
        <v/>
      </c>
      <c r="AW34" s="32" cm="1">
        <f t="array" ref="AW34">IFERROR(INDEX(_xlfn.ANCHORARRAY(AF13),23,4),NA())</f>
        <v/>
      </c>
      <c r="AX34" s="32" cm="1">
        <f t="array" ref="AX34">IFERROR(INDEX(_xlfn.ANCHORARRAY(AF13),23,5),NA())</f>
        <v/>
      </c>
      <c r="AZ34" s="32" cm="1">
        <f t="array" ref="AZ34">IFERROR(INDEX(_xlfn.ANCHORARRAY(Z13),23,1),NA())</f>
        <v/>
      </c>
      <c r="BA34" s="32" cm="1">
        <f t="array" ref="BA34">IFERROR(INDEX(_xlfn.ANCHORARRAY(Z13),23,2),NA())</f>
        <v/>
      </c>
      <c r="BB34" s="32" cm="1">
        <f t="array" ref="BB34">IFERROR(INDEX(_xlfn.ANCHORARRAY(Z13),23,3),NA())</f>
        <v/>
      </c>
    </row>
    <row r="35" ht="20" customHeight="1">
      <c r="B35" s="10" t="inlineStr">
        <is>
          <t>Serviceability Criteria</t>
        </is>
      </c>
      <c r="C35" s="11" t="n"/>
      <c r="D35" s="11" t="n"/>
      <c r="E35" s="11" t="n"/>
      <c r="F35" s="11" t="n"/>
      <c r="G35" s="11" t="n"/>
      <c r="H35" s="11" t="n"/>
      <c r="I35" s="11" t="n"/>
      <c r="J35" s="11" t="n"/>
      <c r="M35" s="22" t="n"/>
      <c r="N35" s="23" t="n"/>
      <c r="O35" s="23" t="n"/>
      <c r="P35" s="23" t="n"/>
      <c r="Q35" s="23" t="n"/>
      <c r="R35" s="23" t="n"/>
      <c r="S35" s="23" t="n"/>
      <c r="T35" s="24" t="n"/>
      <c r="AN35" s="20" t="inlineStr">
        <is>
          <t>760UB147</t>
        </is>
      </c>
      <c r="AT35" s="32" cm="1">
        <f t="array" ref="AT35">IFERROR(INDEX(_xlfn.ANCHORARRAY(AF13),24,1),NA())</f>
        <v/>
      </c>
      <c r="AU35" s="32" cm="1">
        <f t="array" ref="AU35">IFERROR(INDEX(_xlfn.ANCHORARRAY(AF13),24,2),NA())</f>
        <v/>
      </c>
      <c r="AV35" s="32" cm="1">
        <f t="array" ref="AV35">IFERROR(INDEX(_xlfn.ANCHORARRAY(AF13),24,3),NA())</f>
        <v/>
      </c>
      <c r="AW35" s="32" cm="1">
        <f t="array" ref="AW35">IFERROR(INDEX(_xlfn.ANCHORARRAY(AF13),24,4),NA())</f>
        <v/>
      </c>
      <c r="AX35" s="32" cm="1">
        <f t="array" ref="AX35">IFERROR(INDEX(_xlfn.ANCHORARRAY(AF13),24,5),NA())</f>
        <v/>
      </c>
      <c r="AZ35" s="32" cm="1">
        <f t="array" ref="AZ35">IFERROR(INDEX(_xlfn.ANCHORARRAY(Z13),24,1),NA())</f>
        <v/>
      </c>
      <c r="BA35" s="32" cm="1">
        <f t="array" ref="BA35">IFERROR(INDEX(_xlfn.ANCHORARRAY(Z13),24,2),NA())</f>
        <v/>
      </c>
      <c r="BB35" s="32" cm="1">
        <f t="array" ref="BB35">IFERROR(INDEX(_xlfn.ANCHORARRAY(Z13),24,3),NA())</f>
        <v/>
      </c>
    </row>
    <row r="36" ht="14" customHeight="1">
      <c r="B36" s="51" t="inlineStr">
        <is>
          <t>Case</t>
        </is>
      </c>
      <c r="C36" s="49" t="n"/>
      <c r="D36" s="51" t="inlineStr">
        <is>
          <t>Description</t>
        </is>
      </c>
      <c r="E36" s="51" t="inlineStr">
        <is>
          <t xml:space="preserve">Span / </t>
        </is>
      </c>
      <c r="F36" s="51" t="inlineStr">
        <is>
          <t>Max (mm)</t>
        </is>
      </c>
      <c r="G36" s="51" t="inlineStr">
        <is>
          <t>Factor</t>
        </is>
      </c>
      <c r="M36" s="22" t="n"/>
      <c r="N36" s="23" t="n"/>
      <c r="O36" s="23" t="n"/>
      <c r="P36" s="23" t="n"/>
      <c r="Q36" s="23" t="n"/>
      <c r="R36" s="23" t="n"/>
      <c r="S36" s="23" t="n"/>
      <c r="T36" s="24" t="n"/>
      <c r="AN36" s="20" t="inlineStr">
        <is>
          <t>690UB140</t>
        </is>
      </c>
      <c r="AT36" s="32" cm="1">
        <f t="array" ref="AT36">IFERROR(INDEX(_xlfn.ANCHORARRAY(AF13),25,1),NA())</f>
        <v/>
      </c>
      <c r="AU36" s="32" cm="1">
        <f t="array" ref="AU36">IFERROR(INDEX(_xlfn.ANCHORARRAY(AF13),25,2),NA())</f>
        <v/>
      </c>
      <c r="AV36" s="32" cm="1">
        <f t="array" ref="AV36">IFERROR(INDEX(_xlfn.ANCHORARRAY(AF13),25,3),NA())</f>
        <v/>
      </c>
      <c r="AW36" s="32" cm="1">
        <f t="array" ref="AW36">IFERROR(INDEX(_xlfn.ANCHORARRAY(AF13),25,4),NA())</f>
        <v/>
      </c>
      <c r="AX36" s="32" cm="1">
        <f t="array" ref="AX36">IFERROR(INDEX(_xlfn.ANCHORARRAY(AF13),25,5),NA())</f>
        <v/>
      </c>
      <c r="AZ36" s="32" cm="1">
        <f t="array" ref="AZ36">IFERROR(INDEX(_xlfn.ANCHORARRAY(Z13),25,1),NA())</f>
        <v/>
      </c>
      <c r="BA36" s="32" cm="1">
        <f t="array" ref="BA36">IFERROR(INDEX(_xlfn.ANCHORARRAY(Z13),25,2),NA())</f>
        <v/>
      </c>
      <c r="BB36" s="32" cm="1">
        <f t="array" ref="BB36">IFERROR(INDEX(_xlfn.ANCHORARRAY(Z13),25,3),NA())</f>
        <v/>
      </c>
    </row>
    <row r="37" ht="14" customHeight="1">
      <c r="B37" s="52" t="inlineStr">
        <is>
          <t>Δg</t>
        </is>
      </c>
      <c r="C37" s="53" t="n"/>
      <c r="D37" s="54" t="inlineStr">
        <is>
          <t>Dead load</t>
        </is>
      </c>
      <c r="E37" s="47" t="n">
        <v>500</v>
      </c>
      <c r="F37" s="55" t="n">
        <v>20</v>
      </c>
      <c r="G37" s="56" t="inlineStr">
        <is>
          <t>–</t>
        </is>
      </c>
      <c r="H37" s="6" t="inlineStr">
        <is>
          <t>Limit = lesser of L/ratio and max</t>
        </is>
      </c>
      <c r="M37" s="22" t="n"/>
      <c r="N37" s="23" t="n"/>
      <c r="O37" s="23" t="n"/>
      <c r="P37" s="23" t="n"/>
      <c r="Q37" s="23" t="n"/>
      <c r="R37" s="23" t="n"/>
      <c r="S37" s="23" t="n"/>
      <c r="T37" s="24" t="n"/>
      <c r="AN37" s="20" t="inlineStr">
        <is>
          <t>690UB125</t>
        </is>
      </c>
      <c r="AT37" s="32" cm="1">
        <f t="array" ref="AT37">IFERROR(INDEX(_xlfn.ANCHORARRAY(AF13),26,1),NA())</f>
        <v/>
      </c>
      <c r="AU37" s="32" cm="1">
        <f t="array" ref="AU37">IFERROR(INDEX(_xlfn.ANCHORARRAY(AF13),26,2),NA())</f>
        <v/>
      </c>
      <c r="AV37" s="32" cm="1">
        <f t="array" ref="AV37">IFERROR(INDEX(_xlfn.ANCHORARRAY(AF13),26,3),NA())</f>
        <v/>
      </c>
      <c r="AW37" s="32" cm="1">
        <f t="array" ref="AW37">IFERROR(INDEX(_xlfn.ANCHORARRAY(AF13),26,4),NA())</f>
        <v/>
      </c>
      <c r="AX37" s="32" cm="1">
        <f t="array" ref="AX37">IFERROR(INDEX(_xlfn.ANCHORARRAY(AF13),26,5),NA())</f>
        <v/>
      </c>
      <c r="AZ37" s="32" cm="1">
        <f t="array" ref="AZ37">IFERROR(INDEX(_xlfn.ANCHORARRAY(Z13),26,1),NA())</f>
        <v/>
      </c>
      <c r="BA37" s="32" cm="1">
        <f t="array" ref="BA37">IFERROR(INDEX(_xlfn.ANCHORARRAY(Z13),26,2),NA())</f>
        <v/>
      </c>
      <c r="BB37" s="32" cm="1">
        <f t="array" ref="BB37">IFERROR(INDEX(_xlfn.ANCHORARRAY(Z13),26,3),NA())</f>
        <v/>
      </c>
    </row>
    <row r="38" ht="14" customHeight="1">
      <c r="B38" s="52" t="inlineStr">
        <is>
          <t>Δg+ψl·q</t>
        </is>
      </c>
      <c r="C38" s="53" t="n"/>
      <c r="D38" s="54" t="inlineStr">
        <is>
          <t>Long term (ψl)</t>
        </is>
      </c>
      <c r="E38" s="47" t="n">
        <v>360</v>
      </c>
      <c r="F38" s="55" t="n">
        <v>25</v>
      </c>
      <c r="G38" s="55" t="n">
        <v>0.4</v>
      </c>
      <c r="H38" s="6" t="inlineStr">
        <is>
          <t>Blank max = ratio only</t>
        </is>
      </c>
      <c r="M38" s="22" t="n"/>
      <c r="N38" s="23" t="n"/>
      <c r="O38" s="23" t="n"/>
      <c r="P38" s="23" t="n"/>
      <c r="Q38" s="23" t="n"/>
      <c r="R38" s="23" t="n"/>
      <c r="S38" s="23" t="n"/>
      <c r="T38" s="24" t="n"/>
      <c r="AN38" s="20" t="inlineStr">
        <is>
          <t>610UB125</t>
        </is>
      </c>
      <c r="AT38" s="32" cm="1">
        <f t="array" ref="AT38">IFERROR(INDEX(_xlfn.ANCHORARRAY(AF13),27,1),NA())</f>
        <v/>
      </c>
      <c r="AU38" s="32" cm="1">
        <f t="array" ref="AU38">IFERROR(INDEX(_xlfn.ANCHORARRAY(AF13),27,2),NA())</f>
        <v/>
      </c>
      <c r="AV38" s="32" cm="1">
        <f t="array" ref="AV38">IFERROR(INDEX(_xlfn.ANCHORARRAY(AF13),27,3),NA())</f>
        <v/>
      </c>
      <c r="AW38" s="32" cm="1">
        <f t="array" ref="AW38">IFERROR(INDEX(_xlfn.ANCHORARRAY(AF13),27,4),NA())</f>
        <v/>
      </c>
      <c r="AX38" s="32" cm="1">
        <f t="array" ref="AX38">IFERROR(INDEX(_xlfn.ANCHORARRAY(AF13),27,5),NA())</f>
        <v/>
      </c>
      <c r="AZ38" s="32" cm="1">
        <f t="array" ref="AZ38">IFERROR(INDEX(_xlfn.ANCHORARRAY(Z13),27,1),NA())</f>
        <v/>
      </c>
      <c r="BA38" s="32" cm="1">
        <f t="array" ref="BA38">IFERROR(INDEX(_xlfn.ANCHORARRAY(Z13),27,2),NA())</f>
        <v/>
      </c>
      <c r="BB38" s="32" cm="1">
        <f t="array" ref="BB38">IFERROR(INDEX(_xlfn.ANCHORARRAY(Z13),27,3),NA())</f>
        <v/>
      </c>
    </row>
    <row r="39" ht="14" customHeight="1">
      <c r="B39" s="52" t="inlineStr">
        <is>
          <t>Δg+ψs·q</t>
        </is>
      </c>
      <c r="C39" s="53" t="n"/>
      <c r="D39" s="54" t="inlineStr">
        <is>
          <t>Short term (ψs)</t>
        </is>
      </c>
      <c r="E39" s="47" t="n">
        <v>300</v>
      </c>
      <c r="F39" s="55" t="n">
        <v>30</v>
      </c>
      <c r="G39" s="55" t="n">
        <v>0.7</v>
      </c>
      <c r="M39" s="22" t="n"/>
      <c r="N39" s="23" t="n"/>
      <c r="O39" s="23" t="n"/>
      <c r="P39" s="23" t="n"/>
      <c r="Q39" s="23" t="n"/>
      <c r="R39" s="23" t="n"/>
      <c r="S39" s="23" t="n"/>
      <c r="T39" s="24" t="n"/>
      <c r="AN39" s="20" t="inlineStr">
        <is>
          <t>610UB113</t>
        </is>
      </c>
      <c r="AT39" s="32" cm="1">
        <f t="array" ref="AT39">IFERROR(INDEX(_xlfn.ANCHORARRAY(AF13),28,1),NA())</f>
        <v/>
      </c>
      <c r="AU39" s="32" cm="1">
        <f t="array" ref="AU39">IFERROR(INDEX(_xlfn.ANCHORARRAY(AF13),28,2),NA())</f>
        <v/>
      </c>
      <c r="AV39" s="32" cm="1">
        <f t="array" ref="AV39">IFERROR(INDEX(_xlfn.ANCHORARRAY(AF13),28,3),NA())</f>
        <v/>
      </c>
      <c r="AW39" s="32" cm="1">
        <f t="array" ref="AW39">IFERROR(INDEX(_xlfn.ANCHORARRAY(AF13),28,4),NA())</f>
        <v/>
      </c>
      <c r="AX39" s="32" cm="1">
        <f t="array" ref="AX39">IFERROR(INDEX(_xlfn.ANCHORARRAY(AF13),28,5),NA())</f>
        <v/>
      </c>
      <c r="AZ39" s="32" cm="1">
        <f t="array" ref="AZ39">IFERROR(INDEX(_xlfn.ANCHORARRAY(Z13),28,1),NA())</f>
        <v/>
      </c>
      <c r="BA39" s="32" cm="1">
        <f t="array" ref="BA39">IFERROR(INDEX(_xlfn.ANCHORARRAY(Z13),28,2),NA())</f>
        <v/>
      </c>
      <c r="BB39" s="32" cm="1">
        <f t="array" ref="BB39">IFERROR(INDEX(_xlfn.ANCHORARRAY(Z13),28,3),NA())</f>
        <v/>
      </c>
    </row>
    <row r="40" ht="14" customHeight="1">
      <c r="B40" s="52" t="inlineStr">
        <is>
          <t>Δq</t>
        </is>
      </c>
      <c r="C40" s="53" t="n"/>
      <c r="D40" s="54" t="inlineStr">
        <is>
          <t>Live load only</t>
        </is>
      </c>
      <c r="E40" s="47" t="n">
        <v>250</v>
      </c>
      <c r="F40" s="55" t="n">
        <v>30</v>
      </c>
      <c r="G40" s="56" t="inlineStr">
        <is>
          <t>–</t>
        </is>
      </c>
      <c r="M40" s="57" t="n"/>
      <c r="N40" s="58" t="n"/>
      <c r="O40" s="58" t="n"/>
      <c r="P40" s="58" t="n"/>
      <c r="Q40" s="58" t="n"/>
      <c r="R40" s="58" t="n"/>
      <c r="S40" s="58" t="n"/>
      <c r="T40" s="59" t="n"/>
      <c r="AN40" s="20" t="inlineStr">
        <is>
          <t>610UB101</t>
        </is>
      </c>
      <c r="AT40" s="32" cm="1">
        <f t="array" ref="AT40">IFERROR(INDEX(_xlfn.ANCHORARRAY(AF13),29,1),NA())</f>
        <v/>
      </c>
      <c r="AU40" s="32" cm="1">
        <f t="array" ref="AU40">IFERROR(INDEX(_xlfn.ANCHORARRAY(AF13),29,2),NA())</f>
        <v/>
      </c>
      <c r="AV40" s="32" cm="1">
        <f t="array" ref="AV40">IFERROR(INDEX(_xlfn.ANCHORARRAY(AF13),29,3),NA())</f>
        <v/>
      </c>
      <c r="AW40" s="32" cm="1">
        <f t="array" ref="AW40">IFERROR(INDEX(_xlfn.ANCHORARRAY(AF13),29,4),NA())</f>
        <v/>
      </c>
      <c r="AX40" s="32" cm="1">
        <f t="array" ref="AX40">IFERROR(INDEX(_xlfn.ANCHORARRAY(AF13),29,5),NA())</f>
        <v/>
      </c>
      <c r="AZ40" s="32" cm="1">
        <f t="array" ref="AZ40">IFERROR(INDEX(_xlfn.ANCHORARRAY(Z13),29,1),NA())</f>
        <v/>
      </c>
      <c r="BA40" s="32" cm="1">
        <f t="array" ref="BA40">IFERROR(INDEX(_xlfn.ANCHORARRAY(Z13),29,2),NA())</f>
        <v/>
      </c>
      <c r="BB40" s="32" cm="1">
        <f t="array" ref="BB40">IFERROR(INDEX(_xlfn.ANCHORARRAY(Z13),29,3),NA())</f>
        <v/>
      </c>
    </row>
    <row r="41" ht="14" customHeight="1">
      <c r="B41" s="52" t="inlineStr">
        <is>
          <t>Δ1kN</t>
        </is>
      </c>
      <c r="C41" s="53" t="n"/>
      <c r="D41" s="54" t="inlineStr">
        <is>
          <t>1 kN point load at midspan</t>
        </is>
      </c>
      <c r="E41" s="47" t="n">
        <v>1000</v>
      </c>
      <c r="F41" s="55" t="n">
        <v>1.5</v>
      </c>
      <c r="G41" s="56" t="inlineStr">
        <is>
          <t>–</t>
        </is>
      </c>
      <c r="AN41" s="20" t="inlineStr">
        <is>
          <t>530UB92.4</t>
        </is>
      </c>
      <c r="AT41" s="32" cm="1">
        <f t="array" ref="AT41">IFERROR(INDEX(_xlfn.ANCHORARRAY(AF13),30,1),NA())</f>
        <v/>
      </c>
      <c r="AU41" s="32" cm="1">
        <f t="array" ref="AU41">IFERROR(INDEX(_xlfn.ANCHORARRAY(AF13),30,2),NA())</f>
        <v/>
      </c>
      <c r="AV41" s="32" cm="1">
        <f t="array" ref="AV41">IFERROR(INDEX(_xlfn.ANCHORARRAY(AF13),30,3),NA())</f>
        <v/>
      </c>
      <c r="AW41" s="32" cm="1">
        <f t="array" ref="AW41">IFERROR(INDEX(_xlfn.ANCHORARRAY(AF13),30,4),NA())</f>
        <v/>
      </c>
      <c r="AX41" s="32" cm="1">
        <f t="array" ref="AX41">IFERROR(INDEX(_xlfn.ANCHORARRAY(AF13),30,5),NA())</f>
        <v/>
      </c>
      <c r="AZ41" s="32" cm="1">
        <f t="array" ref="AZ41">IFERROR(INDEX(_xlfn.ANCHORARRAY(Z13),30,1),NA())</f>
        <v/>
      </c>
      <c r="BA41" s="32" cm="1">
        <f t="array" ref="BA41">IFERROR(INDEX(_xlfn.ANCHORARRAY(Z13),30,2),NA())</f>
        <v/>
      </c>
      <c r="BB41" s="32" cm="1">
        <f t="array" ref="BB41">IFERROR(INDEX(_xlfn.ANCHORARRAY(Z13),30,3),NA())</f>
        <v/>
      </c>
    </row>
    <row r="42" ht="14" customHeight="1">
      <c r="AN42" s="20" t="inlineStr">
        <is>
          <t>530UB82</t>
        </is>
      </c>
      <c r="AT42" s="32" cm="1">
        <f t="array" ref="AT42">IFERROR(INDEX(_xlfn.ANCHORARRAY(AF13),31,1),NA())</f>
        <v/>
      </c>
      <c r="AU42" s="32" cm="1">
        <f t="array" ref="AU42">IFERROR(INDEX(_xlfn.ANCHORARRAY(AF13),31,2),NA())</f>
        <v/>
      </c>
      <c r="AV42" s="32" cm="1">
        <f t="array" ref="AV42">IFERROR(INDEX(_xlfn.ANCHORARRAY(AF13),31,3),NA())</f>
        <v/>
      </c>
      <c r="AW42" s="32" cm="1">
        <f t="array" ref="AW42">IFERROR(INDEX(_xlfn.ANCHORARRAY(AF13),31,4),NA())</f>
        <v/>
      </c>
      <c r="AX42" s="32" cm="1">
        <f t="array" ref="AX42">IFERROR(INDEX(_xlfn.ANCHORARRAY(AF13),31,5),NA())</f>
        <v/>
      </c>
      <c r="AZ42" s="32" cm="1">
        <f t="array" ref="AZ42">IFERROR(INDEX(_xlfn.ANCHORARRAY(Z13),31,1),NA())</f>
        <v/>
      </c>
      <c r="BA42" s="32" cm="1">
        <f t="array" ref="BA42">IFERROR(INDEX(_xlfn.ANCHORARRAY(Z13),31,2),NA())</f>
        <v/>
      </c>
      <c r="BB42" s="32" cm="1">
        <f t="array" ref="BB42">IFERROR(INDEX(_xlfn.ANCHORARRAY(Z13),31,3),NA())</f>
        <v/>
      </c>
    </row>
    <row r="43" ht="20" customHeight="1">
      <c r="B43" s="10" t="inlineStr">
        <is>
          <t>Applied Loads</t>
        </is>
      </c>
      <c r="C43" s="11" t="n"/>
      <c r="D43" s="11" t="n"/>
      <c r="E43" s="11" t="n"/>
      <c r="F43" s="11" t="n"/>
      <c r="G43" s="11" t="n"/>
      <c r="H43" s="11" t="n"/>
      <c r="I43" s="11" t="n"/>
      <c r="J43" s="11" t="n"/>
      <c r="M43" s="10" t="inlineStr">
        <is>
          <t>Load Combination Library  (not printed)</t>
        </is>
      </c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AN43" s="20" t="inlineStr">
        <is>
          <t>460UB82.1</t>
        </is>
      </c>
      <c r="AT43" s="32" cm="1">
        <f t="array" ref="AT43">IFERROR(INDEX(_xlfn.ANCHORARRAY(AF13),32,1),NA())</f>
        <v/>
      </c>
      <c r="AU43" s="32" cm="1">
        <f t="array" ref="AU43">IFERROR(INDEX(_xlfn.ANCHORARRAY(AF13),32,2),NA())</f>
        <v/>
      </c>
      <c r="AV43" s="32" cm="1">
        <f t="array" ref="AV43">IFERROR(INDEX(_xlfn.ANCHORARRAY(AF13),32,3),NA())</f>
        <v/>
      </c>
      <c r="AW43" s="32" cm="1">
        <f t="array" ref="AW43">IFERROR(INDEX(_xlfn.ANCHORARRAY(AF13),32,4),NA())</f>
        <v/>
      </c>
      <c r="AX43" s="32" cm="1">
        <f t="array" ref="AX43">IFERROR(INDEX(_xlfn.ANCHORARRAY(AF13),32,5),NA())</f>
        <v/>
      </c>
      <c r="AZ43" s="32" cm="1">
        <f t="array" ref="AZ43">IFERROR(INDEX(_xlfn.ANCHORARRAY(Z13),32,1),NA())</f>
        <v/>
      </c>
      <c r="BA43" s="32" cm="1">
        <f t="array" ref="BA43">IFERROR(INDEX(_xlfn.ANCHORARRAY(Z13),32,2),NA())</f>
        <v/>
      </c>
      <c r="BB43" s="32" cm="1">
        <f t="array" ref="BB43">IFERROR(INDEX(_xlfn.ANCHORARRAY(Z13),32,3),NA())</f>
        <v/>
      </c>
    </row>
    <row r="44" ht="14" customHeight="1">
      <c r="B44" s="13" t="inlineStr">
        <is>
          <t>Load = trib × pressure + direct.  UDL/PUDL: trib in m → kN/m.  Point: trib in m² → kN, start = position.  UDL: start/end blank = full span.</t>
        </is>
      </c>
      <c r="M44" s="13" t="inlineStr">
        <is>
          <t>Include: blank = follow the Combination set;  Yes / No = force on or off.  Active rows appear in the calc.</t>
        </is>
      </c>
      <c r="AN44" s="20" t="inlineStr">
        <is>
          <t>460UB74.6</t>
        </is>
      </c>
      <c r="AT44" s="32" cm="1">
        <f t="array" ref="AT44">IFERROR(INDEX(_xlfn.ANCHORARRAY(AF13),33,1),NA())</f>
        <v/>
      </c>
      <c r="AU44" s="32" cm="1">
        <f t="array" ref="AU44">IFERROR(INDEX(_xlfn.ANCHORARRAY(AF13),33,2),NA())</f>
        <v/>
      </c>
      <c r="AV44" s="32" cm="1">
        <f t="array" ref="AV44">IFERROR(INDEX(_xlfn.ANCHORARRAY(AF13),33,3),NA())</f>
        <v/>
      </c>
      <c r="AW44" s="32" cm="1">
        <f t="array" ref="AW44">IFERROR(INDEX(_xlfn.ANCHORARRAY(AF13),33,4),NA())</f>
        <v/>
      </c>
      <c r="AX44" s="32" cm="1">
        <f t="array" ref="AX44">IFERROR(INDEX(_xlfn.ANCHORARRAY(AF13),33,5),NA())</f>
        <v/>
      </c>
      <c r="AZ44" s="32" cm="1">
        <f t="array" ref="AZ44">IFERROR(INDEX(_xlfn.ANCHORARRAY(Z13),33,1),NA())</f>
        <v/>
      </c>
      <c r="BA44" s="32" cm="1">
        <f t="array" ref="BA44">IFERROR(INDEX(_xlfn.ANCHORARRAY(Z13),33,2),NA())</f>
        <v/>
      </c>
      <c r="BB44" s="32" cm="1">
        <f t="array" ref="BB44">IFERROR(INDEX(_xlfn.ANCHORARRAY(Z13),33,3),NA())</f>
        <v/>
      </c>
    </row>
    <row r="45" ht="14" customHeight="1">
      <c r="B45" s="13" t="inlineStr">
        <is>
          <t>Magnitudes positive; direction set by case: Wd, Wid act down; Wu, Wiu act up.  Wi = internal pressure, combined with the external wind case.</t>
        </is>
      </c>
      <c r="M45" s="13" t="inlineStr">
        <is>
          <t>Groups: Gravity (Floor, Roof, All), Wind (Roof, All), Storage (All only), Custom (always, unless Include = No).  Add rows at the bottom for custom combinations.</t>
        </is>
      </c>
      <c r="AN45" s="20" t="inlineStr">
        <is>
          <t>460UB67.1</t>
        </is>
      </c>
      <c r="AT45" s="32" cm="1">
        <f t="array" ref="AT45">IFERROR(INDEX(_xlfn.ANCHORARRAY(AF13),34,1),NA())</f>
        <v/>
      </c>
      <c r="AU45" s="32" cm="1">
        <f t="array" ref="AU45">IFERROR(INDEX(_xlfn.ANCHORARRAY(AF13),34,2),NA())</f>
        <v/>
      </c>
      <c r="AV45" s="32" cm="1">
        <f t="array" ref="AV45">IFERROR(INDEX(_xlfn.ANCHORARRAY(AF13),34,3),NA())</f>
        <v/>
      </c>
      <c r="AW45" s="32" cm="1">
        <f t="array" ref="AW45">IFERROR(INDEX(_xlfn.ANCHORARRAY(AF13),34,4),NA())</f>
        <v/>
      </c>
      <c r="AX45" s="32" cm="1">
        <f t="array" ref="AX45">IFERROR(INDEX(_xlfn.ANCHORARRAY(AF13),34,5),NA())</f>
        <v/>
      </c>
      <c r="AZ45" s="32" cm="1">
        <f t="array" ref="AZ45">IFERROR(INDEX(_xlfn.ANCHORARRAY(Z13),34,1),NA())</f>
        <v/>
      </c>
      <c r="BA45" s="32" cm="1">
        <f t="array" ref="BA45">IFERROR(INDEX(_xlfn.ANCHORARRAY(Z13),34,2),NA())</f>
        <v/>
      </c>
      <c r="BB45" s="32" cm="1">
        <f t="array" ref="BB45">IFERROR(INDEX(_xlfn.ANCHORARRAY(Z13),34,3),NA())</f>
        <v/>
      </c>
    </row>
    <row r="46" ht="26" customHeight="1">
      <c r="B46" s="60" t="inlineStr">
        <is>
          <t>Case</t>
        </is>
      </c>
      <c r="C46" s="60" t="inlineStr">
        <is>
          <t>Type</t>
        </is>
      </c>
      <c r="D46" s="60" t="inlineStr">
        <is>
          <t>Description</t>
        </is>
      </c>
      <c r="E46" s="60" t="inlineStr">
        <is>
          <t>Trib (m | m²)</t>
        </is>
      </c>
      <c r="F46" s="60" t="inlineStr">
        <is>
          <t>Press. (kPa)</t>
        </is>
      </c>
      <c r="G46" s="60" t="inlineStr">
        <is>
          <t>+ Direct (kN/m | kN)</t>
        </is>
      </c>
      <c r="H46" s="60" t="inlineStr">
        <is>
          <t>Start (mm)</t>
        </is>
      </c>
      <c r="I46" s="60" t="inlineStr">
        <is>
          <t>End (mm)</t>
        </is>
      </c>
      <c r="J46" s="60" t="inlineStr">
        <is>
          <t>Load</t>
        </is>
      </c>
      <c r="M46" s="25" t="inlineStr">
        <is>
          <t>Include</t>
        </is>
      </c>
      <c r="N46" s="25" t="inlineStr">
        <is>
          <t>Active</t>
        </is>
      </c>
      <c r="O46" s="25" t="inlineStr">
        <is>
          <t>Group</t>
        </is>
      </c>
      <c r="P46" s="25" t="inlineStr">
        <is>
          <t>ID</t>
        </is>
      </c>
      <c r="Q46" s="25" t="inlineStr">
        <is>
          <t>Crit. flange</t>
        </is>
      </c>
      <c r="R46" s="25" t="inlineStr">
        <is>
          <t>Combination</t>
        </is>
      </c>
      <c r="S46" s="25" t="inlineStr">
        <is>
          <t>G</t>
        </is>
      </c>
      <c r="T46" s="25" t="inlineStr">
        <is>
          <t>Q</t>
        </is>
      </c>
      <c r="U46" s="25" t="inlineStr">
        <is>
          <t>Wd</t>
        </is>
      </c>
      <c r="V46" s="25" t="inlineStr">
        <is>
          <t>Wu</t>
        </is>
      </c>
      <c r="W46" s="25" t="inlineStr">
        <is>
          <t>Wid</t>
        </is>
      </c>
      <c r="X46" s="25" t="inlineStr">
        <is>
          <t>Wiu</t>
        </is>
      </c>
      <c r="AN46" s="20" t="inlineStr">
        <is>
          <t>410UB59.7</t>
        </is>
      </c>
      <c r="AT46" s="32" cm="1">
        <f t="array" ref="AT46">IFERROR(INDEX(_xlfn.ANCHORARRAY(AF13),35,1),NA())</f>
        <v/>
      </c>
      <c r="AU46" s="32" cm="1">
        <f t="array" ref="AU46">IFERROR(INDEX(_xlfn.ANCHORARRAY(AF13),35,2),NA())</f>
        <v/>
      </c>
      <c r="AV46" s="32" cm="1">
        <f t="array" ref="AV46">IFERROR(INDEX(_xlfn.ANCHORARRAY(AF13),35,3),NA())</f>
        <v/>
      </c>
      <c r="AW46" s="32" cm="1">
        <f t="array" ref="AW46">IFERROR(INDEX(_xlfn.ANCHORARRAY(AF13),35,4),NA())</f>
        <v/>
      </c>
      <c r="AX46" s="32" cm="1">
        <f t="array" ref="AX46">IFERROR(INDEX(_xlfn.ANCHORARRAY(AF13),35,5),NA())</f>
        <v/>
      </c>
      <c r="AZ46" s="32" cm="1">
        <f t="array" ref="AZ46">IFERROR(INDEX(_xlfn.ANCHORARRAY(Z13),35,1),NA())</f>
        <v/>
      </c>
      <c r="BA46" s="32" cm="1">
        <f t="array" ref="BA46">IFERROR(INDEX(_xlfn.ANCHORARRAY(Z13),35,2),NA())</f>
        <v/>
      </c>
      <c r="BB46" s="32" cm="1">
        <f t="array" ref="BB46">IFERROR(INDEX(_xlfn.ANCHORARRAY(Z13),35,3),NA())</f>
        <v/>
      </c>
    </row>
    <row r="47" ht="14" customHeight="1">
      <c r="B47" s="2" t="inlineStr">
        <is>
          <t>G</t>
        </is>
      </c>
      <c r="C47" s="2" t="inlineStr">
        <is>
          <t>UDL</t>
        </is>
      </c>
      <c r="D47" s="5" t="inlineStr">
        <is>
          <t>Roof sheeting + purlins</t>
        </is>
      </c>
      <c r="E47" s="61" t="n">
        <v>5.65</v>
      </c>
      <c r="F47" s="30">
        <f>IFERROR(INDEX(LoadLib_B1[kPa],MATCH(Loads_B1[[#This Row],[Description]],LoadLib_B1[Description],0)),"")</f>
        <v/>
      </c>
      <c r="G47" s="30" t="n"/>
      <c r="H47" s="48" t="n"/>
      <c r="I47" s="48" t="n"/>
      <c r="J47" s="62">
        <f>IF(Loads_B1[[#This Row],[Case]]="","",N(Loads_B1[[#This Row],[Trib (m | m²)]])*N(Loads_B1[[#This Row],[Press. (kPa)]])+N(Loads_B1[[#This Row],[+ Direct (kN/m | kN)]]))</f>
        <v/>
      </c>
      <c r="M47" s="2" t="n"/>
      <c r="N47" s="63">
        <f>IF(M47="No",0,IF(P47="",0,IF(M47="Yes",1,IF(OR(CombSet="All",O47="Custom",AND(O47="Gravity",CombSet&lt;&gt;"Custom"),AND(O47="Wind",CombSet="Roof")),1,0))))</f>
        <v/>
      </c>
      <c r="O47" s="2" t="inlineStr">
        <is>
          <t>Gravity</t>
        </is>
      </c>
      <c r="P47" s="2" t="inlineStr">
        <is>
          <t>ULS1</t>
        </is>
      </c>
      <c r="Q47" s="2" t="inlineStr">
        <is>
          <t>Top</t>
        </is>
      </c>
      <c r="R47" s="5" t="inlineStr">
        <is>
          <t>1.35G</t>
        </is>
      </c>
      <c r="S47" s="30" t="n">
        <v>1.35</v>
      </c>
      <c r="T47" s="30" t="n">
        <v>0</v>
      </c>
      <c r="U47" s="30" t="n">
        <v>0</v>
      </c>
      <c r="V47" s="30" t="n">
        <v>0</v>
      </c>
      <c r="W47" s="30" t="n">
        <v>0</v>
      </c>
      <c r="X47" s="30" t="n">
        <v>0</v>
      </c>
      <c r="AN47" s="20" t="inlineStr">
        <is>
          <t>410UB53.7</t>
        </is>
      </c>
      <c r="AT47" s="32" cm="1">
        <f t="array" ref="AT47">IFERROR(INDEX(_xlfn.ANCHORARRAY(AF13),36,1),NA())</f>
        <v/>
      </c>
      <c r="AU47" s="32" cm="1">
        <f t="array" ref="AU47">IFERROR(INDEX(_xlfn.ANCHORARRAY(AF13),36,2),NA())</f>
        <v/>
      </c>
      <c r="AV47" s="32" cm="1">
        <f t="array" ref="AV47">IFERROR(INDEX(_xlfn.ANCHORARRAY(AF13),36,3),NA())</f>
        <v/>
      </c>
      <c r="AW47" s="32" cm="1">
        <f t="array" ref="AW47">IFERROR(INDEX(_xlfn.ANCHORARRAY(AF13),36,4),NA())</f>
        <v/>
      </c>
      <c r="AX47" s="32" cm="1">
        <f t="array" ref="AX47">IFERROR(INDEX(_xlfn.ANCHORARRAY(AF13),36,5),NA())</f>
        <v/>
      </c>
      <c r="AZ47" s="32" cm="1">
        <f t="array" ref="AZ47">IFERROR(INDEX(_xlfn.ANCHORARRAY(Z13),36,1),NA())</f>
        <v/>
      </c>
      <c r="BA47" s="32" cm="1">
        <f t="array" ref="BA47">IFERROR(INDEX(_xlfn.ANCHORARRAY(Z13),36,2),NA())</f>
        <v/>
      </c>
      <c r="BB47" s="32" cm="1">
        <f t="array" ref="BB47">IFERROR(INDEX(_xlfn.ANCHORARRAY(Z13),36,3),NA())</f>
        <v/>
      </c>
    </row>
    <row r="48" ht="14" customHeight="1">
      <c r="B48" s="2" t="inlineStr">
        <is>
          <t>G</t>
        </is>
      </c>
      <c r="C48" s="2" t="inlineStr">
        <is>
          <t>UDL</t>
        </is>
      </c>
      <c r="D48" s="5" t="inlineStr">
        <is>
          <t>Ceiling + services</t>
        </is>
      </c>
      <c r="E48" s="61" t="n">
        <v>5.65</v>
      </c>
      <c r="F48" s="30">
        <f>IFERROR(INDEX(LoadLib_B1[kPa],MATCH(Loads_B1[[#This Row],[Description]],LoadLib_B1[Description],0)),"")</f>
        <v/>
      </c>
      <c r="G48" s="30" t="n"/>
      <c r="H48" s="48" t="n"/>
      <c r="I48" s="48" t="n"/>
      <c r="J48" s="62">
        <f>IF(Loads_B1[[#This Row],[Case]]="","",N(Loads_B1[[#This Row],[Trib (m | m²)]])*N(Loads_B1[[#This Row],[Press. (kPa)]])+N(Loads_B1[[#This Row],[+ Direct (kN/m | kN)]]))</f>
        <v/>
      </c>
      <c r="M48" s="2" t="n"/>
      <c r="N48" s="63">
        <f>IF(M48="No",0,IF(P48="",0,IF(M48="Yes",1,IF(OR(CombSet="All",O48="Custom",AND(O48="Gravity",CombSet&lt;&gt;"Custom"),AND(O48="Wind",CombSet="Roof")),1,0))))</f>
        <v/>
      </c>
      <c r="O48" s="2" t="inlineStr">
        <is>
          <t>Gravity</t>
        </is>
      </c>
      <c r="P48" s="2" t="inlineStr">
        <is>
          <t>ULS2</t>
        </is>
      </c>
      <c r="Q48" s="2" t="inlineStr">
        <is>
          <t>Top</t>
        </is>
      </c>
      <c r="R48" s="5" t="inlineStr">
        <is>
          <t>1.2G + 1.5Q</t>
        </is>
      </c>
      <c r="S48" s="30" t="n">
        <v>1.2</v>
      </c>
      <c r="T48" s="30" t="n">
        <v>1.5</v>
      </c>
      <c r="U48" s="30" t="n">
        <v>0</v>
      </c>
      <c r="V48" s="30" t="n">
        <v>0</v>
      </c>
      <c r="W48" s="30" t="n">
        <v>0</v>
      </c>
      <c r="X48" s="30" t="n">
        <v>0</v>
      </c>
      <c r="AN48" s="20" t="inlineStr">
        <is>
          <t>360UB56.7</t>
        </is>
      </c>
      <c r="AT48" s="32" cm="1">
        <f t="array" ref="AT48">IFERROR(INDEX(_xlfn.ANCHORARRAY(AF13),37,1),NA())</f>
        <v/>
      </c>
      <c r="AU48" s="32" cm="1">
        <f t="array" ref="AU48">IFERROR(INDEX(_xlfn.ANCHORARRAY(AF13),37,2),NA())</f>
        <v/>
      </c>
      <c r="AV48" s="32" cm="1">
        <f t="array" ref="AV48">IFERROR(INDEX(_xlfn.ANCHORARRAY(AF13),37,3),NA())</f>
        <v/>
      </c>
      <c r="AW48" s="32" cm="1">
        <f t="array" ref="AW48">IFERROR(INDEX(_xlfn.ANCHORARRAY(AF13),37,4),NA())</f>
        <v/>
      </c>
      <c r="AX48" s="32" cm="1">
        <f t="array" ref="AX48">IFERROR(INDEX(_xlfn.ANCHORARRAY(AF13),37,5),NA())</f>
        <v/>
      </c>
      <c r="AZ48" s="32" cm="1">
        <f t="array" ref="AZ48">IFERROR(INDEX(_xlfn.ANCHORARRAY(Z13),37,1),NA())</f>
        <v/>
      </c>
      <c r="BA48" s="32" cm="1">
        <f t="array" ref="BA48">IFERROR(INDEX(_xlfn.ANCHORARRAY(Z13),37,2),NA())</f>
        <v/>
      </c>
      <c r="BB48" s="32" cm="1">
        <f t="array" ref="BB48">IFERROR(INDEX(_xlfn.ANCHORARRAY(Z13),37,3),NA())</f>
        <v/>
      </c>
    </row>
    <row r="49" ht="14" customHeight="1">
      <c r="B49" s="2" t="inlineStr">
        <is>
          <t>G</t>
        </is>
      </c>
      <c r="C49" s="2" t="inlineStr">
        <is>
          <t>UDL</t>
        </is>
      </c>
      <c r="D49" s="5" t="inlineStr">
        <is>
          <t>Beam bracket / misc.</t>
        </is>
      </c>
      <c r="E49" s="61" t="n"/>
      <c r="F49" s="30">
        <f>IFERROR(INDEX(LoadLib_B1[kPa],MATCH(Loads_B1[[#This Row],[Description]],LoadLib_B1[Description],0)),"")</f>
        <v/>
      </c>
      <c r="G49" s="30" t="n">
        <v>0.05</v>
      </c>
      <c r="H49" s="48" t="n"/>
      <c r="I49" s="48" t="n"/>
      <c r="J49" s="62">
        <f>IF(Loads_B1[[#This Row],[Case]]="","",N(Loads_B1[[#This Row],[Trib (m | m²)]])*N(Loads_B1[[#This Row],[Press. (kPa)]])+N(Loads_B1[[#This Row],[+ Direct (kN/m | kN)]]))</f>
        <v/>
      </c>
      <c r="M49" s="2" t="n"/>
      <c r="N49" s="63">
        <f>IF(M49="No",0,IF(P49="",0,IF(M49="Yes",1,IF(OR(CombSet="All",O49="Custom",AND(O49="Gravity",CombSet&lt;&gt;"Custom"),AND(O49="Wind",CombSet="Roof")),1,0))))</f>
        <v/>
      </c>
      <c r="O49" s="2" t="inlineStr">
        <is>
          <t>Storage</t>
        </is>
      </c>
      <c r="P49" s="2" t="inlineStr">
        <is>
          <t>ULS3</t>
        </is>
      </c>
      <c r="Q49" s="2" t="inlineStr">
        <is>
          <t>Top</t>
        </is>
      </c>
      <c r="R49" s="5" t="inlineStr">
        <is>
          <t>1.2G + 1.5ψlQ</t>
        </is>
      </c>
      <c r="S49" s="30" t="n">
        <v>1.2</v>
      </c>
      <c r="T49" s="30">
        <f>1.5*PsiL</f>
        <v/>
      </c>
      <c r="U49" s="30" t="n">
        <v>0</v>
      </c>
      <c r="V49" s="30" t="n">
        <v>0</v>
      </c>
      <c r="W49" s="30" t="n">
        <v>0</v>
      </c>
      <c r="X49" s="30" t="n">
        <v>0</v>
      </c>
      <c r="AN49" s="20" t="inlineStr">
        <is>
          <t>360UB50.7</t>
        </is>
      </c>
      <c r="AT49" s="32" cm="1">
        <f t="array" ref="AT49">IFERROR(INDEX(_xlfn.ANCHORARRAY(AF13),38,1),NA())</f>
        <v/>
      </c>
      <c r="AU49" s="32" cm="1">
        <f t="array" ref="AU49">IFERROR(INDEX(_xlfn.ANCHORARRAY(AF13),38,2),NA())</f>
        <v/>
      </c>
      <c r="AV49" s="32" cm="1">
        <f t="array" ref="AV49">IFERROR(INDEX(_xlfn.ANCHORARRAY(AF13),38,3),NA())</f>
        <v/>
      </c>
      <c r="AW49" s="32" cm="1">
        <f t="array" ref="AW49">IFERROR(INDEX(_xlfn.ANCHORARRAY(AF13),38,4),NA())</f>
        <v/>
      </c>
      <c r="AX49" s="32" cm="1">
        <f t="array" ref="AX49">IFERROR(INDEX(_xlfn.ANCHORARRAY(AF13),38,5),NA())</f>
        <v/>
      </c>
      <c r="AZ49" s="32" cm="1">
        <f t="array" ref="AZ49">IFERROR(INDEX(_xlfn.ANCHORARRAY(Z13),38,1),NA())</f>
        <v/>
      </c>
      <c r="BA49" s="32" cm="1">
        <f t="array" ref="BA49">IFERROR(INDEX(_xlfn.ANCHORARRAY(Z13),38,2),NA())</f>
        <v/>
      </c>
      <c r="BB49" s="32" cm="1">
        <f t="array" ref="BB49">IFERROR(INDEX(_xlfn.ANCHORARRAY(Z13),38,3),NA())</f>
        <v/>
      </c>
    </row>
    <row r="50" ht="14" customHeight="1">
      <c r="B50" s="2" t="inlineStr">
        <is>
          <t>Q</t>
        </is>
      </c>
      <c r="C50" s="2" t="inlineStr">
        <is>
          <t>UDL</t>
        </is>
      </c>
      <c r="D50" s="5" t="inlineStr">
        <is>
          <t>Roof – non-trafficable</t>
        </is>
      </c>
      <c r="E50" s="61" t="n">
        <v>5.65</v>
      </c>
      <c r="F50" s="30">
        <f>IFERROR(INDEX(LoadLib_B1[kPa],MATCH(Loads_B1[[#This Row],[Description]],LoadLib_B1[Description],0)),"")</f>
        <v/>
      </c>
      <c r="G50" s="30" t="n"/>
      <c r="H50" s="48" t="n"/>
      <c r="I50" s="48" t="n"/>
      <c r="J50" s="62">
        <f>IF(Loads_B1[[#This Row],[Case]]="","",N(Loads_B1[[#This Row],[Trib (m | m²)]])*N(Loads_B1[[#This Row],[Press. (kPa)]])+N(Loads_B1[[#This Row],[+ Direct (kN/m | kN)]]))</f>
        <v/>
      </c>
      <c r="M50" s="2" t="n"/>
      <c r="N50" s="63">
        <f>IF(M50="No",0,IF(P50="",0,IF(M50="Yes",1,IF(OR(CombSet="All",O50="Custom",AND(O50="Gravity",CombSet&lt;&gt;"Custom"),AND(O50="Wind",CombSet="Roof")),1,0))))</f>
        <v/>
      </c>
      <c r="O50" s="2" t="inlineStr">
        <is>
          <t>Wind</t>
        </is>
      </c>
      <c r="P50" s="2" t="inlineStr">
        <is>
          <t>ULS4</t>
        </is>
      </c>
      <c r="Q50" s="2" t="inlineStr">
        <is>
          <t>Top</t>
        </is>
      </c>
      <c r="R50" s="5" t="inlineStr">
        <is>
          <t>1.2G + ψcQ + Wd + Wi(−cpi)</t>
        </is>
      </c>
      <c r="S50" s="30" t="n">
        <v>1.2</v>
      </c>
      <c r="T50" s="30">
        <f>PsiC</f>
        <v/>
      </c>
      <c r="U50" s="30" t="n">
        <v>1</v>
      </c>
      <c r="V50" s="30" t="n">
        <v>0</v>
      </c>
      <c r="W50" s="30" t="n">
        <v>1</v>
      </c>
      <c r="X50" s="30" t="n">
        <v>0</v>
      </c>
      <c r="AN50" s="20" t="inlineStr">
        <is>
          <t>360UB44.7</t>
        </is>
      </c>
      <c r="AT50" s="32" cm="1">
        <f t="array" ref="AT50">IFERROR(INDEX(_xlfn.ANCHORARRAY(AF13),39,1),NA())</f>
        <v/>
      </c>
      <c r="AU50" s="32" cm="1">
        <f t="array" ref="AU50">IFERROR(INDEX(_xlfn.ANCHORARRAY(AF13),39,2),NA())</f>
        <v/>
      </c>
      <c r="AV50" s="32" cm="1">
        <f t="array" ref="AV50">IFERROR(INDEX(_xlfn.ANCHORARRAY(AF13),39,3),NA())</f>
        <v/>
      </c>
      <c r="AW50" s="32" cm="1">
        <f t="array" ref="AW50">IFERROR(INDEX(_xlfn.ANCHORARRAY(AF13),39,4),NA())</f>
        <v/>
      </c>
      <c r="AX50" s="32" cm="1">
        <f t="array" ref="AX50">IFERROR(INDEX(_xlfn.ANCHORARRAY(AF13),39,5),NA())</f>
        <v/>
      </c>
      <c r="AZ50" s="32" cm="1">
        <f t="array" ref="AZ50">IFERROR(INDEX(_xlfn.ANCHORARRAY(Z13),39,1),NA())</f>
        <v/>
      </c>
      <c r="BA50" s="32" cm="1">
        <f t="array" ref="BA50">IFERROR(INDEX(_xlfn.ANCHORARRAY(Z13),39,2),NA())</f>
        <v/>
      </c>
      <c r="BB50" s="32" cm="1">
        <f t="array" ref="BB50">IFERROR(INDEX(_xlfn.ANCHORARRAY(Z13),39,3),NA())</f>
        <v/>
      </c>
    </row>
    <row r="51" ht="14" customHeight="1">
      <c r="B51" s="2" t="inlineStr">
        <is>
          <t>Wu</t>
        </is>
      </c>
      <c r="C51" s="2" t="inlineStr">
        <is>
          <t>UDL</t>
        </is>
      </c>
      <c r="D51" s="5" t="inlineStr">
        <is>
          <t>External wind – net uplift</t>
        </is>
      </c>
      <c r="E51" s="61" t="n">
        <v>5.65</v>
      </c>
      <c r="F51" s="30" t="n">
        <v>1.72</v>
      </c>
      <c r="G51" s="30" t="n"/>
      <c r="H51" s="48" t="n"/>
      <c r="I51" s="48" t="n"/>
      <c r="J51" s="62">
        <f>IF(Loads_B1[[#This Row],[Case]]="","",N(Loads_B1[[#This Row],[Trib (m | m²)]])*N(Loads_B1[[#This Row],[Press. (kPa)]])+N(Loads_B1[[#This Row],[+ Direct (kN/m | kN)]]))</f>
        <v/>
      </c>
      <c r="M51" s="2" t="n"/>
      <c r="N51" s="63">
        <f>IF(M51="No",0,IF(P51="",0,IF(M51="Yes",1,IF(OR(CombSet="All",O51="Custom",AND(O51="Gravity",CombSet&lt;&gt;"Custom"),AND(O51="Wind",CombSet="Roof")),1,0))))</f>
        <v/>
      </c>
      <c r="O51" s="2" t="inlineStr">
        <is>
          <t>Wind</t>
        </is>
      </c>
      <c r="P51" s="2" t="inlineStr">
        <is>
          <t>ULS5</t>
        </is>
      </c>
      <c r="Q51" s="2" t="inlineStr">
        <is>
          <t>Bottom</t>
        </is>
      </c>
      <c r="R51" s="5" t="inlineStr">
        <is>
          <t>0.9G + Wu + Wi(+cpi)</t>
        </is>
      </c>
      <c r="S51" s="30" t="n">
        <v>0.9</v>
      </c>
      <c r="T51" s="30" t="n">
        <v>0</v>
      </c>
      <c r="U51" s="30" t="n">
        <v>0</v>
      </c>
      <c r="V51" s="30" t="n">
        <v>1</v>
      </c>
      <c r="W51" s="30" t="n">
        <v>0</v>
      </c>
      <c r="X51" s="30" t="n">
        <v>1</v>
      </c>
      <c r="AN51" s="20" t="inlineStr">
        <is>
          <t>310UB46.2</t>
        </is>
      </c>
      <c r="AT51" s="32" cm="1">
        <f t="array" ref="AT51">IFERROR(INDEX(_xlfn.ANCHORARRAY(AF13),40,1),NA())</f>
        <v/>
      </c>
      <c r="AU51" s="32" cm="1">
        <f t="array" ref="AU51">IFERROR(INDEX(_xlfn.ANCHORARRAY(AF13),40,2),NA())</f>
        <v/>
      </c>
      <c r="AV51" s="32" cm="1">
        <f t="array" ref="AV51">IFERROR(INDEX(_xlfn.ANCHORARRAY(AF13),40,3),NA())</f>
        <v/>
      </c>
      <c r="AW51" s="32" cm="1">
        <f t="array" ref="AW51">IFERROR(INDEX(_xlfn.ANCHORARRAY(AF13),40,4),NA())</f>
        <v/>
      </c>
      <c r="AX51" s="32" cm="1">
        <f t="array" ref="AX51">IFERROR(INDEX(_xlfn.ANCHORARRAY(AF13),40,5),NA())</f>
        <v/>
      </c>
      <c r="AZ51" s="32" cm="1">
        <f t="array" ref="AZ51">IFERROR(INDEX(_xlfn.ANCHORARRAY(Z13),40,1),NA())</f>
        <v/>
      </c>
      <c r="BA51" s="32" cm="1">
        <f t="array" ref="BA51">IFERROR(INDEX(_xlfn.ANCHORARRAY(Z13),40,2),NA())</f>
        <v/>
      </c>
      <c r="BB51" s="32" cm="1">
        <f t="array" ref="BB51">IFERROR(INDEX(_xlfn.ANCHORARRAY(Z13),40,3),NA())</f>
        <v/>
      </c>
    </row>
    <row r="52" ht="14" customHeight="1">
      <c r="B52" s="2" t="inlineStr">
        <is>
          <t>Wd</t>
        </is>
      </c>
      <c r="C52" s="2" t="inlineStr">
        <is>
          <t>UDL</t>
        </is>
      </c>
      <c r="D52" s="5" t="inlineStr">
        <is>
          <t>External wind – downward</t>
        </is>
      </c>
      <c r="E52" s="61" t="n">
        <v>5.65</v>
      </c>
      <c r="F52" s="30" t="n">
        <v>0</v>
      </c>
      <c r="G52" s="30" t="n"/>
      <c r="H52" s="48" t="n"/>
      <c r="I52" s="48" t="n"/>
      <c r="J52" s="62">
        <f>IF(Loads_B1[[#This Row],[Case]]="","",N(Loads_B1[[#This Row],[Trib (m | m²)]])*N(Loads_B1[[#This Row],[Press. (kPa)]])+N(Loads_B1[[#This Row],[+ Direct (kN/m | kN)]]))</f>
        <v/>
      </c>
      <c r="M52" s="2" t="n"/>
      <c r="N52" s="63">
        <f>IF(M52="No",0,IF(P52="",0,IF(M52="Yes",1,IF(OR(CombSet="All",O52="Custom",AND(O52="Gravity",CombSet&lt;&gt;"Custom"),AND(O52="Wind",CombSet="Roof")),1,0))))</f>
        <v/>
      </c>
      <c r="O52" s="2" t="inlineStr">
        <is>
          <t>Custom</t>
        </is>
      </c>
      <c r="P52" s="2" t="n"/>
      <c r="Q52" s="2" t="n"/>
      <c r="R52" s="5" t="n"/>
      <c r="S52" s="30" t="n"/>
      <c r="T52" s="30" t="n"/>
      <c r="U52" s="30" t="n"/>
      <c r="V52" s="30" t="n"/>
      <c r="W52" s="30" t="n"/>
      <c r="X52" s="30" t="n"/>
      <c r="AN52" s="20" t="inlineStr">
        <is>
          <t>310UB40.4</t>
        </is>
      </c>
      <c r="AT52" s="32" cm="1">
        <f t="array" ref="AT52">IFERROR(INDEX(_xlfn.ANCHORARRAY(AF13),41,1),NA())</f>
        <v/>
      </c>
      <c r="AU52" s="32" cm="1">
        <f t="array" ref="AU52">IFERROR(INDEX(_xlfn.ANCHORARRAY(AF13),41,2),NA())</f>
        <v/>
      </c>
      <c r="AV52" s="32" cm="1">
        <f t="array" ref="AV52">IFERROR(INDEX(_xlfn.ANCHORARRAY(AF13),41,3),NA())</f>
        <v/>
      </c>
      <c r="AW52" s="32" cm="1">
        <f t="array" ref="AW52">IFERROR(INDEX(_xlfn.ANCHORARRAY(AF13),41,4),NA())</f>
        <v/>
      </c>
      <c r="AX52" s="32" cm="1">
        <f t="array" ref="AX52">IFERROR(INDEX(_xlfn.ANCHORARRAY(AF13),41,5),NA())</f>
        <v/>
      </c>
      <c r="AZ52" s="32" cm="1">
        <f t="array" ref="AZ52">IFERROR(INDEX(_xlfn.ANCHORARRAY(Z13),41,1),NA())</f>
        <v/>
      </c>
      <c r="BA52" s="32" cm="1">
        <f t="array" ref="BA52">IFERROR(INDEX(_xlfn.ANCHORARRAY(Z13),41,2),NA())</f>
        <v/>
      </c>
      <c r="BB52" s="32" cm="1">
        <f t="array" ref="BB52">IFERROR(INDEX(_xlfn.ANCHORARRAY(Z13),41,3),NA())</f>
        <v/>
      </c>
    </row>
    <row r="53" ht="14" customHeight="1">
      <c r="B53" s="2" t="inlineStr">
        <is>
          <t>Wiu</t>
        </is>
      </c>
      <c r="C53" s="2" t="inlineStr">
        <is>
          <t>UDL</t>
        </is>
      </c>
      <c r="D53" s="5" t="inlineStr">
        <is>
          <t>Internal pressure (+cpi)</t>
        </is>
      </c>
      <c r="E53" s="61" t="n">
        <v>5.65</v>
      </c>
      <c r="F53" s="30" t="n">
        <v>0</v>
      </c>
      <c r="G53" s="30" t="n"/>
      <c r="H53" s="48" t="n"/>
      <c r="I53" s="48" t="n"/>
      <c r="J53" s="62">
        <f>IF(Loads_B1[[#This Row],[Case]]="","",N(Loads_B1[[#This Row],[Trib (m | m²)]])*N(Loads_B1[[#This Row],[Press. (kPa)]])+N(Loads_B1[[#This Row],[+ Direct (kN/m | kN)]]))</f>
        <v/>
      </c>
      <c r="M53" s="2" t="n"/>
      <c r="N53" s="63">
        <f>IF(M53="No",0,IF(P53="",0,IF(M53="Yes",1,IF(OR(CombSet="All",O53="Custom",AND(O53="Gravity",CombSet&lt;&gt;"Custom"),AND(O53="Wind",CombSet="Roof")),1,0))))</f>
        <v/>
      </c>
      <c r="O53" s="2" t="inlineStr">
        <is>
          <t>Custom</t>
        </is>
      </c>
      <c r="P53" s="2" t="n"/>
      <c r="Q53" s="2" t="n"/>
      <c r="R53" s="5" t="n"/>
      <c r="S53" s="30" t="n"/>
      <c r="T53" s="30" t="n"/>
      <c r="U53" s="30" t="n"/>
      <c r="V53" s="30" t="n"/>
      <c r="W53" s="30" t="n"/>
      <c r="X53" s="30" t="n"/>
      <c r="AN53" s="20" t="inlineStr">
        <is>
          <t>310UB32</t>
        </is>
      </c>
      <c r="AT53" s="32" cm="1">
        <f t="array" ref="AT53">IFERROR(INDEX(_xlfn.ANCHORARRAY(AF13),42,1),NA())</f>
        <v/>
      </c>
      <c r="AU53" s="32" cm="1">
        <f t="array" ref="AU53">IFERROR(INDEX(_xlfn.ANCHORARRAY(AF13),42,2),NA())</f>
        <v/>
      </c>
      <c r="AV53" s="32" cm="1">
        <f t="array" ref="AV53">IFERROR(INDEX(_xlfn.ANCHORARRAY(AF13),42,3),NA())</f>
        <v/>
      </c>
      <c r="AW53" s="32" cm="1">
        <f t="array" ref="AW53">IFERROR(INDEX(_xlfn.ANCHORARRAY(AF13),42,4),NA())</f>
        <v/>
      </c>
      <c r="AX53" s="32" cm="1">
        <f t="array" ref="AX53">IFERROR(INDEX(_xlfn.ANCHORARRAY(AF13),42,5),NA())</f>
        <v/>
      </c>
      <c r="AZ53" s="32" cm="1">
        <f t="array" ref="AZ53">IFERROR(INDEX(_xlfn.ANCHORARRAY(Z13),42,1),NA())</f>
        <v/>
      </c>
      <c r="BA53" s="32" cm="1">
        <f t="array" ref="BA53">IFERROR(INDEX(_xlfn.ANCHORARRAY(Z13),42,2),NA())</f>
        <v/>
      </c>
      <c r="BB53" s="32" cm="1">
        <f t="array" ref="BB53">IFERROR(INDEX(_xlfn.ANCHORARRAY(Z13),42,3),NA())</f>
        <v/>
      </c>
    </row>
    <row r="54" ht="14" customHeight="1">
      <c r="B54" s="2" t="inlineStr">
        <is>
          <t>Wid</t>
        </is>
      </c>
      <c r="C54" s="2" t="inlineStr">
        <is>
          <t>UDL</t>
        </is>
      </c>
      <c r="D54" s="5" t="inlineStr">
        <is>
          <t>Internal suction (−cpi)</t>
        </is>
      </c>
      <c r="E54" s="61" t="n">
        <v>5.65</v>
      </c>
      <c r="F54" s="30" t="n">
        <v>0</v>
      </c>
      <c r="G54" s="30" t="n"/>
      <c r="H54" s="48" t="n"/>
      <c r="I54" s="48" t="n"/>
      <c r="J54" s="62">
        <f>IF(Loads_B1[[#This Row],[Case]]="","",N(Loads_B1[[#This Row],[Trib (m | m²)]])*N(Loads_B1[[#This Row],[Press. (kPa)]])+N(Loads_B1[[#This Row],[+ Direct (kN/m | kN)]]))</f>
        <v/>
      </c>
      <c r="M54" s="2" t="n"/>
      <c r="N54" s="63">
        <f>IF(M54="No",0,IF(P54="",0,IF(M54="Yes",1,IF(OR(CombSet="All",O54="Custom",AND(O54="Gravity",CombSet&lt;&gt;"Custom"),AND(O54="Wind",CombSet="Roof")),1,0))))</f>
        <v/>
      </c>
      <c r="O54" s="2" t="inlineStr">
        <is>
          <t>Custom</t>
        </is>
      </c>
      <c r="P54" s="2" t="n"/>
      <c r="Q54" s="2" t="n"/>
      <c r="R54" s="5" t="n"/>
      <c r="S54" s="30" t="n"/>
      <c r="T54" s="30" t="n"/>
      <c r="U54" s="30" t="n"/>
      <c r="V54" s="30" t="n"/>
      <c r="W54" s="30" t="n"/>
      <c r="X54" s="30" t="n"/>
      <c r="AN54" s="20" t="inlineStr">
        <is>
          <t>250UB37.3</t>
        </is>
      </c>
      <c r="AT54" s="32" cm="1">
        <f t="array" ref="AT54">IFERROR(INDEX(_xlfn.ANCHORARRAY(AF13),43,1),NA())</f>
        <v/>
      </c>
      <c r="AU54" s="32" cm="1">
        <f t="array" ref="AU54">IFERROR(INDEX(_xlfn.ANCHORARRAY(AF13),43,2),NA())</f>
        <v/>
      </c>
      <c r="AV54" s="32" cm="1">
        <f t="array" ref="AV54">IFERROR(INDEX(_xlfn.ANCHORARRAY(AF13),43,3),NA())</f>
        <v/>
      </c>
      <c r="AW54" s="32" cm="1">
        <f t="array" ref="AW54">IFERROR(INDEX(_xlfn.ANCHORARRAY(AF13),43,4),NA())</f>
        <v/>
      </c>
      <c r="AX54" s="32" cm="1">
        <f t="array" ref="AX54">IFERROR(INDEX(_xlfn.ANCHORARRAY(AF13),43,5),NA())</f>
        <v/>
      </c>
      <c r="AZ54" s="32" cm="1">
        <f t="array" ref="AZ54">IFERROR(INDEX(_xlfn.ANCHORARRAY(Z13),43,1),NA())</f>
        <v/>
      </c>
      <c r="BA54" s="32" cm="1">
        <f t="array" ref="BA54">IFERROR(INDEX(_xlfn.ANCHORARRAY(Z13),43,2),NA())</f>
        <v/>
      </c>
      <c r="BB54" s="32" cm="1">
        <f t="array" ref="BB54">IFERROR(INDEX(_xlfn.ANCHORARRAY(Z13),43,3),NA())</f>
        <v/>
      </c>
    </row>
    <row r="55" ht="14" customHeight="1">
      <c r="B55" s="2" t="inlineStr">
        <is>
          <t>G</t>
        </is>
      </c>
      <c r="C55" s="2" t="inlineStr">
        <is>
          <t>Point</t>
        </is>
      </c>
      <c r="D55" s="5" t="inlineStr">
        <is>
          <t>Mech. unit on platform (example)</t>
        </is>
      </c>
      <c r="E55" s="61" t="n">
        <v>1.5</v>
      </c>
      <c r="F55" s="30" t="n">
        <v>0.5</v>
      </c>
      <c r="G55" s="30" t="n">
        <v>2</v>
      </c>
      <c r="H55" s="48" t="n">
        <v>4150</v>
      </c>
      <c r="I55" s="48" t="n"/>
      <c r="J55" s="62">
        <f>IF(Loads_B1[[#This Row],[Case]]="","",N(Loads_B1[[#This Row],[Trib (m | m²)]])*N(Loads_B1[[#This Row],[Press. (kPa)]])+N(Loads_B1[[#This Row],[+ Direct (kN/m | kN)]]))</f>
        <v/>
      </c>
      <c r="AN55" s="20" t="inlineStr">
        <is>
          <t>250UB31.4</t>
        </is>
      </c>
      <c r="AT55" s="32" cm="1">
        <f t="array" ref="AT55">IFERROR(INDEX(_xlfn.ANCHORARRAY(AF13),44,1),NA())</f>
        <v/>
      </c>
      <c r="AU55" s="32" cm="1">
        <f t="array" ref="AU55">IFERROR(INDEX(_xlfn.ANCHORARRAY(AF13),44,2),NA())</f>
        <v/>
      </c>
      <c r="AV55" s="32" cm="1">
        <f t="array" ref="AV55">IFERROR(INDEX(_xlfn.ANCHORARRAY(AF13),44,3),NA())</f>
        <v/>
      </c>
      <c r="AW55" s="32" cm="1">
        <f t="array" ref="AW55">IFERROR(INDEX(_xlfn.ANCHORARRAY(AF13),44,4),NA())</f>
        <v/>
      </c>
      <c r="AX55" s="32" cm="1">
        <f t="array" ref="AX55">IFERROR(INDEX(_xlfn.ANCHORARRAY(AF13),44,5),NA())</f>
        <v/>
      </c>
      <c r="AZ55" s="32" cm="1">
        <f t="array" ref="AZ55">IFERROR(INDEX(_xlfn.ANCHORARRAY(Z13),44,1),NA())</f>
        <v/>
      </c>
      <c r="BA55" s="32" cm="1">
        <f t="array" ref="BA55">IFERROR(INDEX(_xlfn.ANCHORARRAY(Z13),44,2),NA())</f>
        <v/>
      </c>
      <c r="BB55" s="32" cm="1">
        <f t="array" ref="BB55">IFERROR(INDEX(_xlfn.ANCHORARRAY(Z13),44,3),NA())</f>
        <v/>
      </c>
    </row>
    <row r="56" ht="14" customHeight="1">
      <c r="B56" s="2" t="n"/>
      <c r="C56" s="2" t="n"/>
      <c r="D56" s="5" t="n"/>
      <c r="E56" s="61" t="n"/>
      <c r="F56" s="30">
        <f>IFERROR(INDEX(LoadLib_B1[kPa],MATCH(Loads_B1[[#This Row],[Description]],LoadLib_B1[Description],0)),"")</f>
        <v/>
      </c>
      <c r="G56" s="30" t="n"/>
      <c r="H56" s="48" t="n"/>
      <c r="I56" s="48" t="n"/>
      <c r="J56" s="62">
        <f>IF(Loads_B1[[#This Row],[Case]]="","",N(Loads_B1[[#This Row],[Trib (m | m²)]])*N(Loads_B1[[#This Row],[Press. (kPa)]])+N(Loads_B1[[#This Row],[+ Direct (kN/m | kN)]]))</f>
        <v/>
      </c>
      <c r="R56" s="1" t="inlineStr">
        <is>
          <t>Active uplift (bottom flange) combinations:</t>
        </is>
      </c>
      <c r="S56" s="50">
        <f>COUNTIFS(CombLib_B1[Active],1,CombLib_B1[Crit. flange],"Bottom")</f>
        <v/>
      </c>
      <c r="AN56" s="20" t="inlineStr">
        <is>
          <t>250UB25.7</t>
        </is>
      </c>
      <c r="AT56" s="32" cm="1">
        <f t="array" ref="AT56">IFERROR(INDEX(_xlfn.ANCHORARRAY(AF13),45,1),NA())</f>
        <v/>
      </c>
      <c r="AU56" s="32" cm="1">
        <f t="array" ref="AU56">IFERROR(INDEX(_xlfn.ANCHORARRAY(AF13),45,2),NA())</f>
        <v/>
      </c>
      <c r="AV56" s="32" cm="1">
        <f t="array" ref="AV56">IFERROR(INDEX(_xlfn.ANCHORARRAY(AF13),45,3),NA())</f>
        <v/>
      </c>
      <c r="AW56" s="32" cm="1">
        <f t="array" ref="AW56">IFERROR(INDEX(_xlfn.ANCHORARRAY(AF13),45,4),NA())</f>
        <v/>
      </c>
      <c r="AX56" s="32" cm="1">
        <f t="array" ref="AX56">IFERROR(INDEX(_xlfn.ANCHORARRAY(AF13),45,5),NA())</f>
        <v/>
      </c>
      <c r="AZ56" s="32" cm="1">
        <f t="array" ref="AZ56">IFERROR(INDEX(_xlfn.ANCHORARRAY(Z13),45,1),NA())</f>
        <v/>
      </c>
      <c r="BA56" s="32" cm="1">
        <f t="array" ref="BA56">IFERROR(INDEX(_xlfn.ANCHORARRAY(Z13),45,2),NA())</f>
        <v/>
      </c>
      <c r="BB56" s="32" cm="1">
        <f t="array" ref="BB56">IFERROR(INDEX(_xlfn.ANCHORARRAY(Z13),45,3),NA())</f>
        <v/>
      </c>
    </row>
    <row r="57" ht="14" customHeight="1">
      <c r="B57" s="2" t="n"/>
      <c r="C57" s="2" t="n"/>
      <c r="D57" s="5" t="n"/>
      <c r="E57" s="61" t="n"/>
      <c r="F57" s="30">
        <f>IFERROR(INDEX(LoadLib_B1[kPa],MATCH(Loads_B1[[#This Row],[Description]],LoadLib_B1[Description],0)),"")</f>
        <v/>
      </c>
      <c r="G57" s="30" t="n"/>
      <c r="H57" s="48" t="n"/>
      <c r="I57" s="48" t="n"/>
      <c r="J57" s="62">
        <f>IF(Loads_B1[[#This Row],[Case]]="","",N(Loads_B1[[#This Row],[Trib (m | m²)]])*N(Loads_B1[[#This Row],[Press. (kPa)]])+N(Loads_B1[[#This Row],[+ Direct (kN/m | kN)]]))</f>
        <v/>
      </c>
      <c r="AN57" s="20" t="inlineStr">
        <is>
          <t>200UB29.8</t>
        </is>
      </c>
      <c r="AT57" s="32" cm="1">
        <f t="array" ref="AT57">IFERROR(INDEX(_xlfn.ANCHORARRAY(AF13),46,1),NA())</f>
        <v/>
      </c>
      <c r="AU57" s="32" cm="1">
        <f t="array" ref="AU57">IFERROR(INDEX(_xlfn.ANCHORARRAY(AF13),46,2),NA())</f>
        <v/>
      </c>
      <c r="AV57" s="32" cm="1">
        <f t="array" ref="AV57">IFERROR(INDEX(_xlfn.ANCHORARRAY(AF13),46,3),NA())</f>
        <v/>
      </c>
      <c r="AW57" s="32" cm="1">
        <f t="array" ref="AW57">IFERROR(INDEX(_xlfn.ANCHORARRAY(AF13),46,4),NA())</f>
        <v/>
      </c>
      <c r="AX57" s="32" cm="1">
        <f t="array" ref="AX57">IFERROR(INDEX(_xlfn.ANCHORARRAY(AF13),46,5),NA())</f>
        <v/>
      </c>
      <c r="AZ57" s="32" cm="1">
        <f t="array" ref="AZ57">IFERROR(INDEX(_xlfn.ANCHORARRAY(Z13),46,1),NA())</f>
        <v/>
      </c>
      <c r="BA57" s="32" cm="1">
        <f t="array" ref="BA57">IFERROR(INDEX(_xlfn.ANCHORARRAY(Z13),46,2),NA())</f>
        <v/>
      </c>
      <c r="BB57" s="32" cm="1">
        <f t="array" ref="BB57">IFERROR(INDEX(_xlfn.ANCHORARRAY(Z13),46,3),NA())</f>
        <v/>
      </c>
    </row>
    <row r="58" ht="14" customHeight="1">
      <c r="AN58" s="20" t="inlineStr">
        <is>
          <t>200UB25.4</t>
        </is>
      </c>
      <c r="AT58" s="32" cm="1">
        <f t="array" ref="AT58">IFERROR(INDEX(_xlfn.ANCHORARRAY(AF13),47,1),NA())</f>
        <v/>
      </c>
      <c r="AU58" s="32" cm="1">
        <f t="array" ref="AU58">IFERROR(INDEX(_xlfn.ANCHORARRAY(AF13),47,2),NA())</f>
        <v/>
      </c>
      <c r="AV58" s="32" cm="1">
        <f t="array" ref="AV58">IFERROR(INDEX(_xlfn.ANCHORARRAY(AF13),47,3),NA())</f>
        <v/>
      </c>
      <c r="AW58" s="32" cm="1">
        <f t="array" ref="AW58">IFERROR(INDEX(_xlfn.ANCHORARRAY(AF13),47,4),NA())</f>
        <v/>
      </c>
      <c r="AX58" s="32" cm="1">
        <f t="array" ref="AX58">IFERROR(INDEX(_xlfn.ANCHORARRAY(AF13),47,5),NA())</f>
        <v/>
      </c>
      <c r="AZ58" s="32" cm="1">
        <f t="array" ref="AZ58">IFERROR(INDEX(_xlfn.ANCHORARRAY(Z13),47,1),NA())</f>
        <v/>
      </c>
      <c r="BA58" s="32" cm="1">
        <f t="array" ref="BA58">IFERROR(INDEX(_xlfn.ANCHORARRAY(Z13),47,2),NA())</f>
        <v/>
      </c>
      <c r="BB58" s="32" cm="1">
        <f t="array" ref="BB58">IFERROR(INDEX(_xlfn.ANCHORARRAY(Z13),47,3),NA())</f>
        <v/>
      </c>
    </row>
    <row r="59" ht="14" customHeight="1">
      <c r="E59" s="51" t="inlineStr">
        <is>
          <t>G</t>
        </is>
      </c>
      <c r="F59" s="51" t="inlineStr">
        <is>
          <t>Q</t>
        </is>
      </c>
      <c r="G59" s="51" t="inlineStr">
        <is>
          <t>Wd</t>
        </is>
      </c>
      <c r="H59" s="51" t="inlineStr">
        <is>
          <t>Wu</t>
        </is>
      </c>
      <c r="I59" s="51" t="inlineStr">
        <is>
          <t>Wid</t>
        </is>
      </c>
      <c r="J59" s="51" t="inlineStr">
        <is>
          <t>Wiu</t>
        </is>
      </c>
      <c r="AN59" s="20" t="inlineStr">
        <is>
          <t>200UB22.3</t>
        </is>
      </c>
      <c r="AT59" s="32" cm="1">
        <f t="array" ref="AT59">IFERROR(INDEX(_xlfn.ANCHORARRAY(AF13),48,1),NA())</f>
        <v/>
      </c>
      <c r="AU59" s="32" cm="1">
        <f t="array" ref="AU59">IFERROR(INDEX(_xlfn.ANCHORARRAY(AF13),48,2),NA())</f>
        <v/>
      </c>
      <c r="AV59" s="32" cm="1">
        <f t="array" ref="AV59">IFERROR(INDEX(_xlfn.ANCHORARRAY(AF13),48,3),NA())</f>
        <v/>
      </c>
      <c r="AW59" s="32" cm="1">
        <f t="array" ref="AW59">IFERROR(INDEX(_xlfn.ANCHORARRAY(AF13),48,4),NA())</f>
        <v/>
      </c>
      <c r="AX59" s="32" cm="1">
        <f t="array" ref="AX59">IFERROR(INDEX(_xlfn.ANCHORARRAY(AF13),48,5),NA())</f>
        <v/>
      </c>
      <c r="AZ59" s="32" cm="1">
        <f t="array" ref="AZ59">IFERROR(INDEX(_xlfn.ANCHORARRAY(Z13),48,1),NA())</f>
        <v/>
      </c>
      <c r="BA59" s="32" cm="1">
        <f t="array" ref="BA59">IFERROR(INDEX(_xlfn.ANCHORARRAY(Z13),48,2),NA())</f>
        <v/>
      </c>
      <c r="BB59" s="32" cm="1">
        <f t="array" ref="BB59">IFERROR(INDEX(_xlfn.ANCHORARRAY(Z13),48,3),NA())</f>
        <v/>
      </c>
    </row>
    <row r="60" ht="14" customHeight="1">
      <c r="B60" s="44" t="inlineStr">
        <is>
          <t>Full-span UDL totals (excl. self-weight):</t>
        </is>
      </c>
      <c r="E60" s="62">
        <f>SUMIFS(Loads_B1[Load],Loads_B1[Case],"G",Loads_B1[Type],"UDL")</f>
        <v/>
      </c>
      <c r="F60" s="62">
        <f>SUMIFS(Loads_B1[Load],Loads_B1[Case],"Q",Loads_B1[Type],"UDL")</f>
        <v/>
      </c>
      <c r="G60" s="62">
        <f>SUMIFS(Loads_B1[Load],Loads_B1[Case],"Wd",Loads_B1[Type],"UDL")</f>
        <v/>
      </c>
      <c r="H60" s="62">
        <f>SUMIFS(Loads_B1[Load],Loads_B1[Case],"Wu",Loads_B1[Type],"UDL")</f>
        <v/>
      </c>
      <c r="I60" s="62">
        <f>SUMIFS(Loads_B1[Load],Loads_B1[Case],"Wid",Loads_B1[Type],"UDL")</f>
        <v/>
      </c>
      <c r="J60" s="62">
        <f>SUMIFS(Loads_B1[Load],Loads_B1[Case],"Wiu",Loads_B1[Type],"UDL")</f>
        <v/>
      </c>
      <c r="AN60" s="20" t="inlineStr">
        <is>
          <t>200UB18.2</t>
        </is>
      </c>
      <c r="AT60" s="32" cm="1">
        <f t="array" ref="AT60">IFERROR(INDEX(_xlfn.ANCHORARRAY(AF13),49,1),NA())</f>
        <v/>
      </c>
      <c r="AU60" s="32" cm="1">
        <f t="array" ref="AU60">IFERROR(INDEX(_xlfn.ANCHORARRAY(AF13),49,2),NA())</f>
        <v/>
      </c>
      <c r="AV60" s="32" cm="1">
        <f t="array" ref="AV60">IFERROR(INDEX(_xlfn.ANCHORARRAY(AF13),49,3),NA())</f>
        <v/>
      </c>
      <c r="AW60" s="32" cm="1">
        <f t="array" ref="AW60">IFERROR(INDEX(_xlfn.ANCHORARRAY(AF13),49,4),NA())</f>
        <v/>
      </c>
      <c r="AX60" s="32" cm="1">
        <f t="array" ref="AX60">IFERROR(INDEX(_xlfn.ANCHORARRAY(AF13),49,5),NA())</f>
        <v/>
      </c>
      <c r="AZ60" s="32" cm="1">
        <f t="array" ref="AZ60">IFERROR(INDEX(_xlfn.ANCHORARRAY(Z13),49,1),NA())</f>
        <v/>
      </c>
      <c r="BA60" s="32" cm="1">
        <f t="array" ref="BA60">IFERROR(INDEX(_xlfn.ANCHORARRAY(Z13),49,2),NA())</f>
        <v/>
      </c>
      <c r="BB60" s="32" cm="1">
        <f t="array" ref="BB60">IFERROR(INDEX(_xlfn.ANCHORARRAY(Z13),49,3),NA())</f>
        <v/>
      </c>
    </row>
    <row r="61" ht="14" customHeight="1">
      <c r="AN61" s="20" t="inlineStr">
        <is>
          <t>180UB22.2</t>
        </is>
      </c>
      <c r="AT61" s="32" cm="1">
        <f t="array" ref="AT61">IFERROR(INDEX(_xlfn.ANCHORARRAY(AF13),50,1),NA())</f>
        <v/>
      </c>
      <c r="AU61" s="32" cm="1">
        <f t="array" ref="AU61">IFERROR(INDEX(_xlfn.ANCHORARRAY(AF13),50,2),NA())</f>
        <v/>
      </c>
      <c r="AV61" s="32" cm="1">
        <f t="array" ref="AV61">IFERROR(INDEX(_xlfn.ANCHORARRAY(AF13),50,3),NA())</f>
        <v/>
      </c>
      <c r="AW61" s="32" cm="1">
        <f t="array" ref="AW61">IFERROR(INDEX(_xlfn.ANCHORARRAY(AF13),50,4),NA())</f>
        <v/>
      </c>
      <c r="AX61" s="32" cm="1">
        <f t="array" ref="AX61">IFERROR(INDEX(_xlfn.ANCHORARRAY(AF13),50,5),NA())</f>
        <v/>
      </c>
      <c r="AZ61" s="32" cm="1">
        <f t="array" ref="AZ61">IFERROR(INDEX(_xlfn.ANCHORARRAY(Z13),50,1),NA())</f>
        <v/>
      </c>
      <c r="BA61" s="32" cm="1">
        <f t="array" ref="BA61">IFERROR(INDEX(_xlfn.ANCHORARRAY(Z13),50,2),NA())</f>
        <v/>
      </c>
      <c r="BB61" s="32" cm="1">
        <f t="array" ref="BB61">IFERROR(INDEX(_xlfn.ANCHORARRAY(Z13),50,3),NA())</f>
        <v/>
      </c>
    </row>
    <row r="62" ht="20" customHeight="1">
      <c r="B62" s="10" t="inlineStr">
        <is>
          <t>Load Combinations (AS/NZS 1170.0)</t>
        </is>
      </c>
      <c r="C62" s="11" t="n"/>
      <c r="D62" s="11" t="n"/>
      <c r="E62" s="11" t="n"/>
      <c r="F62" s="11" t="n"/>
      <c r="G62" s="11" t="n"/>
      <c r="H62" s="11" t="n"/>
      <c r="I62" s="11" t="n"/>
      <c r="J62" s="11" t="n"/>
      <c r="AN62" s="20" t="inlineStr">
        <is>
          <t>180UB18.1</t>
        </is>
      </c>
      <c r="AT62" s="32" cm="1">
        <f t="array" ref="AT62">IFERROR(INDEX(_xlfn.ANCHORARRAY(AF13),51,1),NA())</f>
        <v/>
      </c>
      <c r="AU62" s="32" cm="1">
        <f t="array" ref="AU62">IFERROR(INDEX(_xlfn.ANCHORARRAY(AF13),51,2),NA())</f>
        <v/>
      </c>
      <c r="AV62" s="32" cm="1">
        <f t="array" ref="AV62">IFERROR(INDEX(_xlfn.ANCHORARRAY(AF13),51,3),NA())</f>
        <v/>
      </c>
      <c r="AW62" s="32" cm="1">
        <f t="array" ref="AW62">IFERROR(INDEX(_xlfn.ANCHORARRAY(AF13),51,4),NA())</f>
        <v/>
      </c>
      <c r="AX62" s="32" cm="1">
        <f t="array" ref="AX62">IFERROR(INDEX(_xlfn.ANCHORARRAY(AF13),51,5),NA())</f>
        <v/>
      </c>
      <c r="AZ62" s="32" cm="1">
        <f t="array" ref="AZ62">IFERROR(INDEX(_xlfn.ANCHORARRAY(Z13),51,1),NA())</f>
        <v/>
      </c>
      <c r="BA62" s="32" cm="1">
        <f t="array" ref="BA62">IFERROR(INDEX(_xlfn.ANCHORARRAY(Z13),51,2),NA())</f>
        <v/>
      </c>
      <c r="BB62" s="32" cm="1">
        <f t="array" ref="BB62">IFERROR(INDEX(_xlfn.ANCHORARRAY(Z13),51,3),NA())</f>
        <v/>
      </c>
    </row>
    <row r="63" ht="14" customHeight="1">
      <c r="B63" s="43" t="inlineStr">
        <is>
          <t>Combination set</t>
        </is>
      </c>
      <c r="E63" s="2" t="inlineStr">
        <is>
          <t>Roof</t>
        </is>
      </c>
      <c r="F63" s="45" t="inlineStr">
        <is>
          <t>ψc</t>
        </is>
      </c>
      <c r="G63" s="55" t="n">
        <v>0.4</v>
      </c>
      <c r="H63" s="6" t="inlineStr">
        <is>
          <t>Table 4.1 (roofs 0.0)</t>
        </is>
      </c>
      <c r="AN63" s="20" t="inlineStr">
        <is>
          <t>180UB16.1</t>
        </is>
      </c>
      <c r="AT63" s="32" cm="1">
        <f t="array" ref="AT63">IFERROR(INDEX(_xlfn.ANCHORARRAY(AF13),52,1),NA())</f>
        <v/>
      </c>
      <c r="AU63" s="32" cm="1">
        <f t="array" ref="AU63">IFERROR(INDEX(_xlfn.ANCHORARRAY(AF13),52,2),NA())</f>
        <v/>
      </c>
      <c r="AV63" s="32" cm="1">
        <f t="array" ref="AV63">IFERROR(INDEX(_xlfn.ANCHORARRAY(AF13),52,3),NA())</f>
        <v/>
      </c>
      <c r="AW63" s="32" cm="1">
        <f t="array" ref="AW63">IFERROR(INDEX(_xlfn.ANCHORARRAY(AF13),52,4),NA())</f>
        <v/>
      </c>
      <c r="AX63" s="32" cm="1">
        <f t="array" ref="AX63">IFERROR(INDEX(_xlfn.ANCHORARRAY(AF13),52,5),NA())</f>
        <v/>
      </c>
      <c r="AZ63" s="32" cm="1">
        <f t="array" ref="AZ63">IFERROR(INDEX(_xlfn.ANCHORARRAY(Z13),52,1),NA())</f>
        <v/>
      </c>
      <c r="BA63" s="32" cm="1">
        <f t="array" ref="BA63">IFERROR(INDEX(_xlfn.ANCHORARRAY(Z13),52,2),NA())</f>
        <v/>
      </c>
      <c r="BB63" s="32" cm="1">
        <f t="array" ref="BB63">IFERROR(INDEX(_xlfn.ANCHORARRAY(Z13),52,3),NA())</f>
        <v/>
      </c>
    </row>
    <row r="64" ht="14" customHeight="1">
      <c r="B64" s="13" t="inlineStr">
        <is>
          <t>Floor = gravity only.  Roof = gravity + wind.  All = every library row.  Custom = only rows set to Yes / Custom.  Edit in the library to the right →</t>
        </is>
      </c>
      <c r="AN64" s="20" t="inlineStr">
        <is>
          <t>150UB18</t>
        </is>
      </c>
      <c r="AT64" s="32" cm="1">
        <f t="array" ref="AT64">IFERROR(INDEX(_xlfn.ANCHORARRAY(AF13),53,1),NA())</f>
        <v/>
      </c>
      <c r="AU64" s="32" cm="1">
        <f t="array" ref="AU64">IFERROR(INDEX(_xlfn.ANCHORARRAY(AF13),53,2),NA())</f>
        <v/>
      </c>
      <c r="AV64" s="32" cm="1">
        <f t="array" ref="AV64">IFERROR(INDEX(_xlfn.ANCHORARRAY(AF13),53,3),NA())</f>
        <v/>
      </c>
      <c r="AW64" s="32" cm="1">
        <f t="array" ref="AW64">IFERROR(INDEX(_xlfn.ANCHORARRAY(AF13),53,4),NA())</f>
        <v/>
      </c>
      <c r="AX64" s="32" cm="1">
        <f t="array" ref="AX64">IFERROR(INDEX(_xlfn.ANCHORARRAY(AF13),53,5),NA())</f>
        <v/>
      </c>
      <c r="AZ64" s="32" cm="1">
        <f t="array" ref="AZ64">IFERROR(INDEX(_xlfn.ANCHORARRAY(Z13),53,1),NA())</f>
        <v/>
      </c>
      <c r="BA64" s="32" cm="1">
        <f t="array" ref="BA64">IFERROR(INDEX(_xlfn.ANCHORARRAY(Z13),53,2),NA())</f>
        <v/>
      </c>
      <c r="BB64" s="32" cm="1">
        <f t="array" ref="BB64">IFERROR(INDEX(_xlfn.ANCHORARRAY(Z13),53,3),NA())</f>
        <v/>
      </c>
    </row>
    <row r="65" ht="14" customHeight="1">
      <c r="B65" s="25" t="inlineStr">
        <is>
          <t>ID</t>
        </is>
      </c>
      <c r="C65" s="25" t="inlineStr">
        <is>
          <t>Crit. flange</t>
        </is>
      </c>
      <c r="D65" s="25" t="inlineStr">
        <is>
          <t>Combination</t>
        </is>
      </c>
      <c r="E65" s="25" t="inlineStr">
        <is>
          <t>G</t>
        </is>
      </c>
      <c r="F65" s="25" t="inlineStr">
        <is>
          <t>Q</t>
        </is>
      </c>
      <c r="G65" s="25" t="inlineStr">
        <is>
          <t>Wd</t>
        </is>
      </c>
      <c r="H65" s="25" t="inlineStr">
        <is>
          <t>Wu</t>
        </is>
      </c>
      <c r="I65" s="25" t="inlineStr">
        <is>
          <t>Wid</t>
        </is>
      </c>
      <c r="J65" s="25" t="inlineStr">
        <is>
          <t>Wiu</t>
        </is>
      </c>
      <c r="AN65" s="20" t="inlineStr">
        <is>
          <t>150UB14</t>
        </is>
      </c>
      <c r="AT65" s="32" cm="1">
        <f t="array" ref="AT65">IFERROR(INDEX(_xlfn.ANCHORARRAY(AF13),54,1),NA())</f>
        <v/>
      </c>
      <c r="AU65" s="32" cm="1">
        <f t="array" ref="AU65">IFERROR(INDEX(_xlfn.ANCHORARRAY(AF13),54,2),NA())</f>
        <v/>
      </c>
      <c r="AV65" s="32" cm="1">
        <f t="array" ref="AV65">IFERROR(INDEX(_xlfn.ANCHORARRAY(AF13),54,3),NA())</f>
        <v/>
      </c>
      <c r="AW65" s="32" cm="1">
        <f t="array" ref="AW65">IFERROR(INDEX(_xlfn.ANCHORARRAY(AF13),54,4),NA())</f>
        <v/>
      </c>
      <c r="AX65" s="32" cm="1">
        <f t="array" ref="AX65">IFERROR(INDEX(_xlfn.ANCHORARRAY(AF13),54,5),NA())</f>
        <v/>
      </c>
      <c r="AZ65" s="32" cm="1">
        <f t="array" ref="AZ65">IFERROR(INDEX(_xlfn.ANCHORARRAY(Z13),54,1),NA())</f>
        <v/>
      </c>
      <c r="BA65" s="32" cm="1">
        <f t="array" ref="BA65">IFERROR(INDEX(_xlfn.ANCHORARRAY(Z13),54,2),NA())</f>
        <v/>
      </c>
      <c r="BB65" s="32" cm="1">
        <f t="array" ref="BB65">IFERROR(INDEX(_xlfn.ANCHORARRAY(Z13),54,3),NA())</f>
        <v/>
      </c>
    </row>
    <row r="66" ht="14" customHeight="1">
      <c r="B66" s="35" cm="1">
        <f t="array" ref="B66">_xlfn._xlws.FILTER(CombLib_B1[[ID]:[Wiu]],CombLib_B1[Active]=1,"No combinations selected")</f>
        <v/>
      </c>
      <c r="C66" s="35" t="n"/>
      <c r="D66" s="43" t="n"/>
      <c r="E66" s="64" t="n"/>
      <c r="F66" s="64" t="n"/>
      <c r="G66" s="64" t="n"/>
      <c r="H66" s="64" t="n"/>
      <c r="I66" s="64" t="n"/>
      <c r="J66" s="64" t="n"/>
      <c r="AN66" s="20" t="inlineStr">
        <is>
          <t>380PFC</t>
        </is>
      </c>
      <c r="AT66" s="32" cm="1">
        <f t="array" ref="AT66">IFERROR(INDEX(_xlfn.ANCHORARRAY(AF13),55,1),NA())</f>
        <v/>
      </c>
      <c r="AU66" s="32" cm="1">
        <f t="array" ref="AU66">IFERROR(INDEX(_xlfn.ANCHORARRAY(AF13),55,2),NA())</f>
        <v/>
      </c>
      <c r="AV66" s="32" cm="1">
        <f t="array" ref="AV66">IFERROR(INDEX(_xlfn.ANCHORARRAY(AF13),55,3),NA())</f>
        <v/>
      </c>
      <c r="AW66" s="32" cm="1">
        <f t="array" ref="AW66">IFERROR(INDEX(_xlfn.ANCHORARRAY(AF13),55,4),NA())</f>
        <v/>
      </c>
      <c r="AX66" s="32" cm="1">
        <f t="array" ref="AX66">IFERROR(INDEX(_xlfn.ANCHORARRAY(AF13),55,5),NA())</f>
        <v/>
      </c>
      <c r="AZ66" s="32" cm="1">
        <f t="array" ref="AZ66">IFERROR(INDEX(_xlfn.ANCHORARRAY(Z13),55,1),NA())</f>
        <v/>
      </c>
      <c r="BA66" s="32" cm="1">
        <f t="array" ref="BA66">IFERROR(INDEX(_xlfn.ANCHORARRAY(Z13),55,2),NA())</f>
        <v/>
      </c>
      <c r="BB66" s="32" cm="1">
        <f t="array" ref="BB66">IFERROR(INDEX(_xlfn.ANCHORARRAY(Z13),55,3),NA())</f>
        <v/>
      </c>
    </row>
    <row r="67" ht="14" customHeight="1">
      <c r="B67" s="35" t="n"/>
      <c r="C67" s="35" t="n"/>
      <c r="D67" s="43" t="n"/>
      <c r="E67" s="64" t="n"/>
      <c r="F67" s="64" t="n"/>
      <c r="G67" s="64" t="n"/>
      <c r="H67" s="64" t="n"/>
      <c r="I67" s="64" t="n"/>
      <c r="J67" s="64" t="n"/>
      <c r="AN67" s="20" t="inlineStr">
        <is>
          <t>300PFC</t>
        </is>
      </c>
      <c r="AT67" s="32" cm="1">
        <f t="array" ref="AT67">IFERROR(INDEX(_xlfn.ANCHORARRAY(AF13),56,1),NA())</f>
        <v/>
      </c>
      <c r="AU67" s="32" cm="1">
        <f t="array" ref="AU67">IFERROR(INDEX(_xlfn.ANCHORARRAY(AF13),56,2),NA())</f>
        <v/>
      </c>
      <c r="AV67" s="32" cm="1">
        <f t="array" ref="AV67">IFERROR(INDEX(_xlfn.ANCHORARRAY(AF13),56,3),NA())</f>
        <v/>
      </c>
      <c r="AW67" s="32" cm="1">
        <f t="array" ref="AW67">IFERROR(INDEX(_xlfn.ANCHORARRAY(AF13),56,4),NA())</f>
        <v/>
      </c>
      <c r="AX67" s="32" cm="1">
        <f t="array" ref="AX67">IFERROR(INDEX(_xlfn.ANCHORARRAY(AF13),56,5),NA())</f>
        <v/>
      </c>
      <c r="AZ67" s="32" cm="1">
        <f t="array" ref="AZ67">IFERROR(INDEX(_xlfn.ANCHORARRAY(Z13),56,1),NA())</f>
        <v/>
      </c>
      <c r="BA67" s="32" cm="1">
        <f t="array" ref="BA67">IFERROR(INDEX(_xlfn.ANCHORARRAY(Z13),56,2),NA())</f>
        <v/>
      </c>
      <c r="BB67" s="32" cm="1">
        <f t="array" ref="BB67">IFERROR(INDEX(_xlfn.ANCHORARRAY(Z13),56,3),NA())</f>
        <v/>
      </c>
    </row>
    <row r="68" ht="14" customHeight="1">
      <c r="B68" s="35" t="n"/>
      <c r="C68" s="35" t="n"/>
      <c r="D68" s="43" t="n"/>
      <c r="E68" s="64" t="n"/>
      <c r="F68" s="64" t="n"/>
      <c r="G68" s="64" t="n"/>
      <c r="H68" s="64" t="n"/>
      <c r="I68" s="64" t="n"/>
      <c r="J68" s="64" t="n"/>
      <c r="AN68" s="20" t="inlineStr">
        <is>
          <t>250PFC</t>
        </is>
      </c>
      <c r="AT68" s="32" cm="1">
        <f t="array" ref="AT68">IFERROR(INDEX(_xlfn.ANCHORARRAY(AF13),57,1),NA())</f>
        <v/>
      </c>
      <c r="AU68" s="32" cm="1">
        <f t="array" ref="AU68">IFERROR(INDEX(_xlfn.ANCHORARRAY(AF13),57,2),NA())</f>
        <v/>
      </c>
      <c r="AV68" s="32" cm="1">
        <f t="array" ref="AV68">IFERROR(INDEX(_xlfn.ANCHORARRAY(AF13),57,3),NA())</f>
        <v/>
      </c>
      <c r="AW68" s="32" cm="1">
        <f t="array" ref="AW68">IFERROR(INDEX(_xlfn.ANCHORARRAY(AF13),57,4),NA())</f>
        <v/>
      </c>
      <c r="AX68" s="32" cm="1">
        <f t="array" ref="AX68">IFERROR(INDEX(_xlfn.ANCHORARRAY(AF13),57,5),NA())</f>
        <v/>
      </c>
      <c r="AZ68" s="32" cm="1">
        <f t="array" ref="AZ68">IFERROR(INDEX(_xlfn.ANCHORARRAY(Z13),57,1),NA())</f>
        <v/>
      </c>
      <c r="BA68" s="32" cm="1">
        <f t="array" ref="BA68">IFERROR(INDEX(_xlfn.ANCHORARRAY(Z13),57,2),NA())</f>
        <v/>
      </c>
      <c r="BB68" s="32" cm="1">
        <f t="array" ref="BB68">IFERROR(INDEX(_xlfn.ANCHORARRAY(Z13),57,3),NA())</f>
        <v/>
      </c>
    </row>
    <row r="69" ht="14" customHeight="1">
      <c r="B69" s="35" t="n"/>
      <c r="C69" s="35" t="n"/>
      <c r="D69" s="43" t="n"/>
      <c r="E69" s="64" t="n"/>
      <c r="F69" s="64" t="n"/>
      <c r="G69" s="64" t="n"/>
      <c r="H69" s="64" t="n"/>
      <c r="I69" s="64" t="n"/>
      <c r="J69" s="64" t="n"/>
      <c r="AN69" s="20" t="inlineStr">
        <is>
          <t>230PFC</t>
        </is>
      </c>
      <c r="AT69" s="32" cm="1">
        <f t="array" ref="AT69">IFERROR(INDEX(_xlfn.ANCHORARRAY(AF13),58,1),NA())</f>
        <v/>
      </c>
      <c r="AU69" s="32" cm="1">
        <f t="array" ref="AU69">IFERROR(INDEX(_xlfn.ANCHORARRAY(AF13),58,2),NA())</f>
        <v/>
      </c>
      <c r="AV69" s="32" cm="1">
        <f t="array" ref="AV69">IFERROR(INDEX(_xlfn.ANCHORARRAY(AF13),58,3),NA())</f>
        <v/>
      </c>
      <c r="AW69" s="32" cm="1">
        <f t="array" ref="AW69">IFERROR(INDEX(_xlfn.ANCHORARRAY(AF13),58,4),NA())</f>
        <v/>
      </c>
      <c r="AX69" s="32" cm="1">
        <f t="array" ref="AX69">IFERROR(INDEX(_xlfn.ANCHORARRAY(AF13),58,5),NA())</f>
        <v/>
      </c>
      <c r="AZ69" s="32" cm="1">
        <f t="array" ref="AZ69">IFERROR(INDEX(_xlfn.ANCHORARRAY(Z13),58,1),NA())</f>
        <v/>
      </c>
      <c r="BA69" s="32" cm="1">
        <f t="array" ref="BA69">IFERROR(INDEX(_xlfn.ANCHORARRAY(Z13),58,2),NA())</f>
        <v/>
      </c>
      <c r="BB69" s="32" cm="1">
        <f t="array" ref="BB69">IFERROR(INDEX(_xlfn.ANCHORARRAY(Z13),58,3),NA())</f>
        <v/>
      </c>
    </row>
    <row r="70" ht="14" customHeight="1">
      <c r="B70" s="35" t="n"/>
      <c r="C70" s="35" t="n"/>
      <c r="D70" s="43" t="n"/>
      <c r="E70" s="64" t="n"/>
      <c r="F70" s="64" t="n"/>
      <c r="G70" s="64" t="n"/>
      <c r="H70" s="64" t="n"/>
      <c r="I70" s="64" t="n"/>
      <c r="J70" s="64" t="n"/>
      <c r="AN70" s="20" t="inlineStr">
        <is>
          <t>200PFC</t>
        </is>
      </c>
      <c r="AT70" s="32" cm="1">
        <f t="array" ref="AT70">IFERROR(INDEX(_xlfn.ANCHORARRAY(AF13),59,1),NA())</f>
        <v/>
      </c>
      <c r="AU70" s="32" cm="1">
        <f t="array" ref="AU70">IFERROR(INDEX(_xlfn.ANCHORARRAY(AF13),59,2),NA())</f>
        <v/>
      </c>
      <c r="AV70" s="32" cm="1">
        <f t="array" ref="AV70">IFERROR(INDEX(_xlfn.ANCHORARRAY(AF13),59,3),NA())</f>
        <v/>
      </c>
      <c r="AW70" s="32" cm="1">
        <f t="array" ref="AW70">IFERROR(INDEX(_xlfn.ANCHORARRAY(AF13),59,4),NA())</f>
        <v/>
      </c>
      <c r="AX70" s="32" cm="1">
        <f t="array" ref="AX70">IFERROR(INDEX(_xlfn.ANCHORARRAY(AF13),59,5),NA())</f>
        <v/>
      </c>
      <c r="AZ70" s="32" cm="1">
        <f t="array" ref="AZ70">IFERROR(INDEX(_xlfn.ANCHORARRAY(Z13),59,1),NA())</f>
        <v/>
      </c>
      <c r="BA70" s="32" cm="1">
        <f t="array" ref="BA70">IFERROR(INDEX(_xlfn.ANCHORARRAY(Z13),59,2),NA())</f>
        <v/>
      </c>
      <c r="BB70" s="32" cm="1">
        <f t="array" ref="BB70">IFERROR(INDEX(_xlfn.ANCHORARRAY(Z13),59,3),NA())</f>
        <v/>
      </c>
    </row>
    <row r="71" ht="14" customHeight="1">
      <c r="B71" s="35" t="n"/>
      <c r="C71" s="35" t="n"/>
      <c r="D71" s="43" t="n"/>
      <c r="E71" s="64" t="n"/>
      <c r="F71" s="64" t="n"/>
      <c r="G71" s="64" t="n"/>
      <c r="H71" s="64" t="n"/>
      <c r="I71" s="64" t="n"/>
      <c r="J71" s="64" t="n"/>
      <c r="AN71" s="20" t="inlineStr">
        <is>
          <t>180PFC</t>
        </is>
      </c>
      <c r="AT71" s="32" cm="1">
        <f t="array" ref="AT71">IFERROR(INDEX(_xlfn.ANCHORARRAY(AF13),60,1),NA())</f>
        <v/>
      </c>
      <c r="AU71" s="32" cm="1">
        <f t="array" ref="AU71">IFERROR(INDEX(_xlfn.ANCHORARRAY(AF13),60,2),NA())</f>
        <v/>
      </c>
      <c r="AV71" s="32" cm="1">
        <f t="array" ref="AV71">IFERROR(INDEX(_xlfn.ANCHORARRAY(AF13),60,3),NA())</f>
        <v/>
      </c>
      <c r="AW71" s="32" cm="1">
        <f t="array" ref="AW71">IFERROR(INDEX(_xlfn.ANCHORARRAY(AF13),60,4),NA())</f>
        <v/>
      </c>
      <c r="AX71" s="32" cm="1">
        <f t="array" ref="AX71">IFERROR(INDEX(_xlfn.ANCHORARRAY(AF13),60,5),NA())</f>
        <v/>
      </c>
      <c r="AZ71" s="32" cm="1">
        <f t="array" ref="AZ71">IFERROR(INDEX(_xlfn.ANCHORARRAY(Z13),60,1),NA())</f>
        <v/>
      </c>
      <c r="BA71" s="32" cm="1">
        <f t="array" ref="BA71">IFERROR(INDEX(_xlfn.ANCHORARRAY(Z13),60,2),NA())</f>
        <v/>
      </c>
      <c r="BB71" s="32" cm="1">
        <f t="array" ref="BB71">IFERROR(INDEX(_xlfn.ANCHORARRAY(Z13),60,3),NA())</f>
        <v/>
      </c>
    </row>
    <row r="72" ht="14" customHeight="1">
      <c r="B72" s="35" t="n"/>
      <c r="C72" s="35" t="n"/>
      <c r="D72" s="43" t="n"/>
      <c r="E72" s="64" t="n"/>
      <c r="F72" s="64" t="n"/>
      <c r="G72" s="64" t="n"/>
      <c r="H72" s="64" t="n"/>
      <c r="I72" s="64" t="n"/>
      <c r="J72" s="64" t="n"/>
      <c r="AN72" s="20" t="inlineStr">
        <is>
          <t>150PFC</t>
        </is>
      </c>
      <c r="AT72" s="32" cm="1">
        <f t="array" ref="AT72">IFERROR(INDEX(_xlfn.ANCHORARRAY(AF13),61,1),NA())</f>
        <v/>
      </c>
      <c r="AU72" s="32" cm="1">
        <f t="array" ref="AU72">IFERROR(INDEX(_xlfn.ANCHORARRAY(AF13),61,2),NA())</f>
        <v/>
      </c>
      <c r="AV72" s="32" cm="1">
        <f t="array" ref="AV72">IFERROR(INDEX(_xlfn.ANCHORARRAY(AF13),61,3),NA())</f>
        <v/>
      </c>
      <c r="AW72" s="32" cm="1">
        <f t="array" ref="AW72">IFERROR(INDEX(_xlfn.ANCHORARRAY(AF13),61,4),NA())</f>
        <v/>
      </c>
      <c r="AX72" s="32" cm="1">
        <f t="array" ref="AX72">IFERROR(INDEX(_xlfn.ANCHORARRAY(AF13),61,5),NA())</f>
        <v/>
      </c>
      <c r="AZ72" s="32" cm="1">
        <f t="array" ref="AZ72">IFERROR(INDEX(_xlfn.ANCHORARRAY(Z13),61,1),NA())</f>
        <v/>
      </c>
      <c r="BA72" s="32" cm="1">
        <f t="array" ref="BA72">IFERROR(INDEX(_xlfn.ANCHORARRAY(Z13),61,2),NA())</f>
        <v/>
      </c>
      <c r="BB72" s="32" cm="1">
        <f t="array" ref="BB72">IFERROR(INDEX(_xlfn.ANCHORARRAY(Z13),61,3),NA())</f>
        <v/>
      </c>
    </row>
    <row r="73" ht="14" customHeight="1">
      <c r="B73" s="35" t="n"/>
      <c r="C73" s="35" t="n"/>
      <c r="D73" s="43" t="n"/>
      <c r="E73" s="64" t="n"/>
      <c r="F73" s="64" t="n"/>
      <c r="G73" s="64" t="n"/>
      <c r="H73" s="64" t="n"/>
      <c r="I73" s="64" t="n"/>
      <c r="J73" s="64" t="n"/>
      <c r="AN73" s="20" t="inlineStr">
        <is>
          <t>125PFC</t>
        </is>
      </c>
      <c r="AT73" s="32" cm="1">
        <f t="array" ref="AT73">IFERROR(INDEX(_xlfn.ANCHORARRAY(AF13),62,1),NA())</f>
        <v/>
      </c>
      <c r="AU73" s="32" cm="1">
        <f t="array" ref="AU73">IFERROR(INDEX(_xlfn.ANCHORARRAY(AF13),62,2),NA())</f>
        <v/>
      </c>
      <c r="AV73" s="32" cm="1">
        <f t="array" ref="AV73">IFERROR(INDEX(_xlfn.ANCHORARRAY(AF13),62,3),NA())</f>
        <v/>
      </c>
      <c r="AW73" s="32" cm="1">
        <f t="array" ref="AW73">IFERROR(INDEX(_xlfn.ANCHORARRAY(AF13),62,4),NA())</f>
        <v/>
      </c>
      <c r="AX73" s="32" cm="1">
        <f t="array" ref="AX73">IFERROR(INDEX(_xlfn.ANCHORARRAY(AF13),62,5),NA())</f>
        <v/>
      </c>
      <c r="AZ73" s="32" cm="1">
        <f t="array" ref="AZ73">IFERROR(INDEX(_xlfn.ANCHORARRAY(Z13),62,1),NA())</f>
        <v/>
      </c>
      <c r="BA73" s="32" cm="1">
        <f t="array" ref="BA73">IFERROR(INDEX(_xlfn.ANCHORARRAY(Z13),62,2),NA())</f>
        <v/>
      </c>
      <c r="BB73" s="32" cm="1">
        <f t="array" ref="BB73">IFERROR(INDEX(_xlfn.ANCHORARRAY(Z13),62,3),NA())</f>
        <v/>
      </c>
    </row>
    <row r="74" ht="20" customHeight="1">
      <c r="B74" s="10" t="inlineStr">
        <is>
          <t>Lateral Restraints (AS 4100 Cl. 5.4)</t>
        </is>
      </c>
      <c r="C74" s="11" t="n"/>
      <c r="D74" s="11" t="n"/>
      <c r="E74" s="11" t="n"/>
      <c r="F74" s="11" t="n"/>
      <c r="G74" s="11" t="n"/>
      <c r="H74" s="11" t="n"/>
      <c r="I74" s="11" t="n"/>
      <c r="J74" s="11" t="n"/>
      <c r="AN74" s="20" t="inlineStr">
        <is>
          <t>100PFC</t>
        </is>
      </c>
    </row>
    <row r="75" ht="14" customHeight="1">
      <c r="B75" s="13" t="inlineStr">
        <is>
          <t>Restraint type at each cross-section for the critical flange: F, P, L or U (– = none). Supports must be F or P.</t>
        </is>
      </c>
      <c r="AN75" s="20" t="inlineStr">
        <is>
          <t>75PFC</t>
        </is>
      </c>
    </row>
    <row r="76" ht="14" customHeight="1">
      <c r="B76" s="25" t="inlineStr">
        <is>
          <t>x (mm)</t>
        </is>
      </c>
      <c r="C76" s="25" t="inlineStr">
        <is>
          <t>Ref</t>
        </is>
      </c>
      <c r="D76" s="25" t="inlineStr">
        <is>
          <t>Restraint provided by</t>
        </is>
      </c>
      <c r="E76" s="25" t="inlineStr">
        <is>
          <t>Top flange</t>
        </is>
      </c>
      <c r="F76" s="25" t="inlineStr">
        <is>
          <t>Bottom fl.</t>
        </is>
      </c>
      <c r="G76" s="25" t="inlineStr">
        <is>
          <t>αm top →</t>
        </is>
      </c>
      <c r="H76" s="25" t="inlineStr">
        <is>
          <t>αm bot. →</t>
        </is>
      </c>
      <c r="AN76" s="20" t="inlineStr">
        <is>
          <t>310UC158</t>
        </is>
      </c>
    </row>
    <row r="77" ht="14" customHeight="1">
      <c r="B77" s="65">
        <f>0</f>
        <v/>
      </c>
      <c r="C77" s="2" t="inlineStr">
        <is>
          <t>A</t>
        </is>
      </c>
      <c r="D77" s="5" t="inlineStr">
        <is>
          <t>Left support – cleat</t>
        </is>
      </c>
      <c r="E77" s="2" t="inlineStr">
        <is>
          <t>F</t>
        </is>
      </c>
      <c r="F77" s="2" t="inlineStr">
        <is>
          <t>F</t>
        </is>
      </c>
      <c r="G77" s="30" t="n"/>
      <c r="H77" s="30" t="n"/>
      <c r="AN77" s="20" t="inlineStr">
        <is>
          <t>310UC137</t>
        </is>
      </c>
    </row>
    <row r="78" ht="14" customHeight="1">
      <c r="B78" s="48" t="n"/>
      <c r="C78" s="2" t="n"/>
      <c r="D78" s="5" t="n"/>
      <c r="E78" s="2" t="n"/>
      <c r="F78" s="2" t="n"/>
      <c r="G78" s="30" t="n"/>
      <c r="H78" s="30" t="n"/>
      <c r="AN78" s="20" t="inlineStr">
        <is>
          <t>310UC118</t>
        </is>
      </c>
    </row>
    <row r="79" ht="14" customHeight="1">
      <c r="B79" s="48" t="n"/>
      <c r="C79" s="2" t="n"/>
      <c r="D79" s="5" t="n"/>
      <c r="E79" s="2" t="n"/>
      <c r="F79" s="2" t="n"/>
      <c r="G79" s="30" t="n"/>
      <c r="H79" s="30" t="n"/>
      <c r="AN79" s="20" t="inlineStr">
        <is>
          <t>310UC97</t>
        </is>
      </c>
    </row>
    <row r="80" ht="14" customHeight="1">
      <c r="B80" s="48" t="n"/>
      <c r="C80" s="2" t="n"/>
      <c r="D80" s="5" t="n"/>
      <c r="E80" s="2" t="n"/>
      <c r="F80" s="2" t="n"/>
      <c r="G80" s="30" t="n"/>
      <c r="H80" s="30" t="n"/>
      <c r="AN80" s="20" t="inlineStr">
        <is>
          <t>250UC89.5</t>
        </is>
      </c>
    </row>
    <row r="81" ht="14" customHeight="1">
      <c r="B81" s="48" t="n"/>
      <c r="C81" s="2" t="n"/>
      <c r="D81" s="5" t="n"/>
      <c r="E81" s="2" t="n"/>
      <c r="F81" s="2" t="n"/>
      <c r="G81" s="30" t="n"/>
      <c r="H81" s="30" t="n"/>
      <c r="AN81" s="20" t="inlineStr">
        <is>
          <t>250UC73</t>
        </is>
      </c>
    </row>
    <row r="82" ht="14" customHeight="1">
      <c r="B82" s="48" t="n"/>
      <c r="C82" s="2" t="n"/>
      <c r="D82" s="5" t="n"/>
      <c r="E82" s="2" t="n"/>
      <c r="F82" s="2" t="n"/>
      <c r="G82" s="30" t="n"/>
      <c r="H82" s="30" t="n"/>
      <c r="AN82" s="20" t="inlineStr">
        <is>
          <t>200UC59.5</t>
        </is>
      </c>
    </row>
    <row r="83" ht="14" customHeight="1">
      <c r="B83" s="65">
        <f>Span</f>
        <v/>
      </c>
      <c r="C83" s="2" t="inlineStr">
        <is>
          <t>B</t>
        </is>
      </c>
      <c r="D83" s="5" t="inlineStr">
        <is>
          <t>Right support – cleat</t>
        </is>
      </c>
      <c r="E83" s="2" t="inlineStr">
        <is>
          <t>F</t>
        </is>
      </c>
      <c r="F83" s="2" t="inlineStr">
        <is>
          <t>F</t>
        </is>
      </c>
      <c r="G83" s="30" t="n"/>
      <c r="H83" s="30" t="n"/>
      <c r="AN83" s="20" t="inlineStr">
        <is>
          <t>200UC52</t>
        </is>
      </c>
    </row>
    <row r="84" ht="14" customHeight="1">
      <c r="B84" s="13" t="inlineStr">
        <is>
          <t>αm top / αm bot. → override αm for that flange's segment from this row to the next restraint on that flange (blank = Cl. 5.6.1.1(a)(iii)). Flagged * in the output.</t>
        </is>
      </c>
      <c r="AN84" s="20" t="inlineStr">
        <is>
          <t>200UC46</t>
        </is>
      </c>
    </row>
    <row r="85" ht="14" customHeight="1">
      <c r="AN85" s="20" t="inlineStr">
        <is>
          <t>150UC37</t>
        </is>
      </c>
    </row>
    <row r="86" ht="14" customHeight="1">
      <c r="E86" s="25" t="inlineStr">
        <is>
          <t>Factor</t>
        </is>
      </c>
      <c r="F86" s="25" t="inlineStr">
        <is>
          <t>Top</t>
        </is>
      </c>
      <c r="G86" s="25" t="inlineStr">
        <is>
          <t>Bottom</t>
        </is>
      </c>
      <c r="AN86" s="20" t="inlineStr">
        <is>
          <t>150UC30</t>
        </is>
      </c>
    </row>
    <row r="87" ht="14" customHeight="1">
      <c r="E87" s="35" t="inlineStr">
        <is>
          <t>kl</t>
        </is>
      </c>
      <c r="F87" s="30" t="n">
        <v>1.4</v>
      </c>
      <c r="G87" s="30" t="n">
        <v>1</v>
      </c>
      <c r="H87" s="13" t="inlineStr">
        <is>
          <t>kl: load height, Table 5.6.3(2)</t>
        </is>
      </c>
      <c r="AN87" s="20" t="inlineStr">
        <is>
          <t>150UC23</t>
        </is>
      </c>
    </row>
    <row r="88" ht="14" customHeight="1">
      <c r="E88" s="35" t="inlineStr">
        <is>
          <t>kr</t>
        </is>
      </c>
      <c r="F88" s="30" t="n">
        <v>1</v>
      </c>
      <c r="G88" s="30" t="n">
        <v>1</v>
      </c>
      <c r="H88" s="13" t="inlineStr">
        <is>
          <t>kr: rotation, Table 5.6.3(3); kt from restraints</t>
        </is>
      </c>
      <c r="AN88" s="20" t="inlineStr">
        <is>
          <t>100UC15</t>
        </is>
      </c>
    </row>
    <row r="89" ht="14" customHeight="1">
      <c r="E89" s="35" t="inlineStr">
        <is>
          <t>Continuous</t>
        </is>
      </c>
      <c r="F89" s="2" t="inlineStr">
        <is>
          <t>No</t>
        </is>
      </c>
      <c r="G89" s="2" t="inlineStr">
        <is>
          <t>No</t>
        </is>
      </c>
      <c r="H89" s="13" t="inlineStr">
        <is>
          <t>Yes = flange continuously restrained: φMb = φMsx</t>
        </is>
      </c>
    </row>
    <row r="90" ht="14" customHeight="1"/>
    <row r="91" ht="20" customHeight="1">
      <c r="B91" s="10" t="inlineStr">
        <is>
          <t>Serviceability Checks</t>
        </is>
      </c>
      <c r="C91" s="11" t="n"/>
      <c r="D91" s="11" t="n"/>
      <c r="E91" s="11" t="n"/>
      <c r="F91" s="11" t="n"/>
      <c r="G91" s="11" t="n"/>
      <c r="H91" s="11" t="n"/>
      <c r="I91" s="11" t="n"/>
      <c r="J91" s="11" t="n"/>
    </row>
    <row r="92" ht="14" customHeight="1">
      <c r="B92" s="60" t="inlineStr">
        <is>
          <t>Case</t>
        </is>
      </c>
      <c r="C92" s="60" t="inlineStr">
        <is>
          <t>Δ max (mm)</t>
        </is>
      </c>
      <c r="D92" s="60" t="inlineStr">
        <is>
          <t>at x (mm)</t>
        </is>
      </c>
      <c r="E92" s="60" t="inlineStr">
        <is>
          <t>Limit (mm)</t>
        </is>
      </c>
      <c r="F92" s="60" t="inlineStr">
        <is>
          <t>L / Δ</t>
        </is>
      </c>
      <c r="G92" s="60" t="inlineStr">
        <is>
          <t>Utilisation</t>
        </is>
      </c>
    </row>
    <row r="93" ht="14" customHeight="1">
      <c r="B93" s="35" cm="1">
        <f t="array" ref="B93">OAR.SLS(SectionSize,Span,E_mod,IncludeSW,Loads_B1[[Case]:[End (mm)]],$E$37:$F$41,PsiL,PsiS)</f>
        <v/>
      </c>
      <c r="C93" s="64" t="n"/>
      <c r="D93" s="66" t="n"/>
      <c r="E93" s="64" t="n"/>
      <c r="F93" s="67" t="n"/>
      <c r="G93" s="68" t="n"/>
      <c r="H93" s="6" t="inlineStr">
        <is>
          <t>Δ1kN: 1 kN at midspan,</t>
        </is>
      </c>
    </row>
    <row r="94" ht="14" customHeight="1">
      <c r="B94" s="35" t="n"/>
      <c r="C94" s="64" t="n"/>
      <c r="D94" s="66" t="n"/>
      <c r="E94" s="64" t="n"/>
      <c r="F94" s="67" t="n"/>
      <c r="G94" s="68" t="n"/>
      <c r="H94" s="6" t="inlineStr">
        <is>
          <t>beam alone</t>
        </is>
      </c>
    </row>
    <row r="95" ht="14" customHeight="1">
      <c r="B95" s="35" t="n"/>
      <c r="C95" s="64" t="n"/>
      <c r="D95" s="66" t="n"/>
      <c r="E95" s="64" t="n"/>
      <c r="F95" s="67" t="n"/>
      <c r="G95" s="68" t="n"/>
    </row>
    <row r="96" ht="14" customHeight="1">
      <c r="B96" s="35" t="n"/>
      <c r="C96" s="64" t="n"/>
      <c r="D96" s="66" t="n"/>
      <c r="E96" s="64" t="n"/>
      <c r="F96" s="67" t="n"/>
      <c r="G96" s="68" t="n"/>
    </row>
    <row r="97" ht="14" customHeight="1">
      <c r="B97" s="35" t="n"/>
      <c r="C97" s="64" t="n"/>
      <c r="D97" s="66" t="n"/>
      <c r="E97" s="64" t="n"/>
      <c r="F97" s="67" t="n"/>
      <c r="G97" s="68" t="n"/>
    </row>
    <row r="98" ht="14" customHeight="1"/>
    <row r="99" ht="14" customHeight="1">
      <c r="B99" s="69" t="inlineStr">
        <is>
          <t>Deflected shapes (mm, plotted downward;  x in m)</t>
        </is>
      </c>
    </row>
    <row r="100" ht="14" customHeight="1"/>
    <row r="101" ht="14" customHeight="1"/>
    <row r="102" ht="14" customHeight="1"/>
    <row r="103" ht="14" customHeight="1"/>
    <row r="104" ht="14" customHeight="1"/>
    <row r="105" ht="14" customHeight="1"/>
    <row r="106" ht="14" customHeight="1"/>
    <row r="107" ht="14" customHeight="1"/>
    <row r="108" ht="14" customHeight="1"/>
    <row r="109" ht="14" customHeight="1"/>
    <row r="110" ht="14" customHeight="1"/>
    <row r="111" ht="14" customHeight="1"/>
    <row r="112" ht="20" customHeight="1">
      <c r="B112" s="10" t="inlineStr">
        <is>
          <t>ULS Strength Checks – Bending (AS 4100 Cl. 5.6)</t>
        </is>
      </c>
      <c r="C112" s="11" t="n"/>
      <c r="D112" s="11" t="n"/>
      <c r="E112" s="11" t="n"/>
      <c r="F112" s="11" t="n"/>
      <c r="G112" s="11" t="n"/>
      <c r="H112" s="11" t="n"/>
      <c r="I112" s="11" t="n"/>
      <c r="J112" s="11" t="n"/>
    </row>
    <row r="113" ht="14" customHeight="1">
      <c r="B113" s="69" t="inlineStr">
        <is>
          <t>Bending moment envelope, all active combinations (kN·m, sagging plotted down;  x in m)</t>
        </is>
      </c>
    </row>
    <row r="114" ht="14" customHeight="1"/>
    <row r="115" ht="14" customHeight="1"/>
    <row r="116" ht="14" customHeight="1"/>
    <row r="117" ht="14" customHeight="1"/>
    <row r="118" ht="14" customHeight="1"/>
    <row r="119" ht="14" customHeight="1"/>
    <row r="120" ht="14" customHeight="1"/>
    <row r="121" ht="14" customHeight="1"/>
    <row r="122" ht="14" customHeight="1"/>
    <row r="123" ht="14" customHeight="1"/>
    <row r="124" ht="14" customHeight="1"/>
    <row r="125" ht="14" customHeight="1"/>
    <row r="126" ht="16" customHeight="1">
      <c r="B126" s="60" t="inlineStr">
        <is>
          <t>Combo</t>
        </is>
      </c>
      <c r="C126" s="60" t="inlineStr">
        <is>
          <t>Segment (m)</t>
        </is>
      </c>
      <c r="D126" s="60" t="inlineStr">
        <is>
          <t>Ends</t>
        </is>
      </c>
      <c r="E126" s="60" t="inlineStr">
        <is>
          <t>Le (m)</t>
        </is>
      </c>
      <c r="F126" s="60" t="inlineStr">
        <is>
          <t>αm</t>
        </is>
      </c>
      <c r="G126" s="60" t="inlineStr">
        <is>
          <t>αs</t>
        </is>
      </c>
      <c r="H126" s="60" t="inlineStr">
        <is>
          <t>φMb (kN·m)</t>
        </is>
      </c>
      <c r="I126" s="60" t="inlineStr">
        <is>
          <t>M* (kN·m)</t>
        </is>
      </c>
      <c r="J126" s="60" t="inlineStr">
        <is>
          <t>Utilisation</t>
        </is>
      </c>
    </row>
    <row r="127" ht="14" customHeight="1">
      <c r="B127" s="35" cm="1">
        <f t="array" ref="B127">OAR.ULS(SectionSize,Grade,Span,E_mod,IncludeSW,Loads_B1[[Case]:[End (mm)]],_xlfn.ANCHORARRAY(B66),Restraints_B1[#Data],$F$87:$G$89)</f>
        <v/>
      </c>
      <c r="C127" s="35" t="n"/>
      <c r="D127" s="35" t="n"/>
      <c r="E127" s="64" t="n"/>
      <c r="F127" s="70" t="n"/>
      <c r="G127" s="70" t="n"/>
      <c r="H127" s="71" t="n"/>
      <c r="I127" s="71" t="n"/>
      <c r="J127" s="68" t="n"/>
    </row>
    <row r="128" ht="14" customHeight="1">
      <c r="B128" s="35" t="n"/>
      <c r="C128" s="35" t="n"/>
      <c r="D128" s="35" t="n"/>
      <c r="E128" s="64" t="n"/>
      <c r="F128" s="70" t="n"/>
      <c r="G128" s="70" t="n"/>
      <c r="H128" s="71" t="n"/>
      <c r="I128" s="71" t="n"/>
      <c r="J128" s="68" t="n"/>
    </row>
    <row r="129" ht="14" customHeight="1">
      <c r="B129" s="35" t="n"/>
      <c r="C129" s="35" t="n"/>
      <c r="D129" s="35" t="n"/>
      <c r="E129" s="64" t="n"/>
      <c r="F129" s="70" t="n"/>
      <c r="G129" s="70" t="n"/>
      <c r="H129" s="71" t="n"/>
      <c r="I129" s="71" t="n"/>
      <c r="J129" s="68" t="n"/>
    </row>
    <row r="130" ht="14" customHeight="1">
      <c r="B130" s="35" t="n"/>
      <c r="C130" s="35" t="n"/>
      <c r="D130" s="35" t="n"/>
      <c r="E130" s="64" t="n"/>
      <c r="F130" s="70" t="n"/>
      <c r="G130" s="70" t="n"/>
      <c r="H130" s="71" t="n"/>
      <c r="I130" s="71" t="n"/>
      <c r="J130" s="68" t="n"/>
    </row>
    <row r="131" ht="14" customHeight="1">
      <c r="B131" s="35" t="n"/>
      <c r="C131" s="35" t="n"/>
      <c r="D131" s="35" t="n"/>
      <c r="E131" s="64" t="n"/>
      <c r="F131" s="70" t="n"/>
      <c r="G131" s="70" t="n"/>
      <c r="H131" s="71" t="n"/>
      <c r="I131" s="71" t="n"/>
      <c r="J131" s="68" t="n"/>
    </row>
    <row r="132" ht="14" customHeight="1">
      <c r="B132" s="35" t="n"/>
      <c r="C132" s="35" t="n"/>
      <c r="D132" s="35" t="n"/>
      <c r="E132" s="64" t="n"/>
      <c r="F132" s="70" t="n"/>
      <c r="G132" s="70" t="n"/>
      <c r="H132" s="71" t="n"/>
      <c r="I132" s="71" t="n"/>
      <c r="J132" s="68" t="n"/>
    </row>
    <row r="133" ht="14" customHeight="1">
      <c r="B133" s="35" t="n"/>
      <c r="C133" s="35" t="n"/>
      <c r="D133" s="35" t="n"/>
      <c r="E133" s="64" t="n"/>
      <c r="F133" s="70" t="n"/>
      <c r="G133" s="70" t="n"/>
      <c r="H133" s="71" t="n"/>
      <c r="I133" s="71" t="n"/>
      <c r="J133" s="68" t="n"/>
    </row>
    <row r="134" ht="14" customHeight="1">
      <c r="B134" s="35" t="n"/>
      <c r="C134" s="35" t="n"/>
      <c r="D134" s="35" t="n"/>
      <c r="E134" s="64" t="n"/>
      <c r="F134" s="70" t="n"/>
      <c r="G134" s="70" t="n"/>
      <c r="H134" s="71" t="n"/>
      <c r="I134" s="71" t="n"/>
      <c r="J134" s="68" t="n"/>
    </row>
    <row r="135" ht="14" customHeight="1">
      <c r="B135" s="35" t="n"/>
      <c r="C135" s="35" t="n"/>
      <c r="D135" s="35" t="n"/>
      <c r="E135" s="64" t="n"/>
      <c r="F135" s="70" t="n"/>
      <c r="G135" s="70" t="n"/>
      <c r="H135" s="71" t="n"/>
      <c r="I135" s="71" t="n"/>
      <c r="J135" s="68" t="n"/>
    </row>
    <row r="136" ht="14" customHeight="1">
      <c r="B136" s="35" t="n"/>
      <c r="C136" s="35" t="n"/>
      <c r="D136" s="35" t="n"/>
      <c r="E136" s="64" t="n"/>
      <c r="F136" s="70" t="n"/>
      <c r="G136" s="70" t="n"/>
      <c r="H136" s="71" t="n"/>
      <c r="I136" s="71" t="n"/>
      <c r="J136" s="68" t="n"/>
    </row>
    <row r="137" ht="14" customHeight="1">
      <c r="B137" s="35" t="n"/>
      <c r="C137" s="35" t="n"/>
      <c r="D137" s="35" t="n"/>
      <c r="E137" s="64" t="n"/>
      <c r="F137" s="70" t="n"/>
      <c r="G137" s="70" t="n"/>
      <c r="H137" s="71" t="n"/>
      <c r="I137" s="71" t="n"/>
      <c r="J137" s="68" t="n"/>
    </row>
    <row r="138" ht="14" customHeight="1">
      <c r="B138" s="35" t="n"/>
      <c r="C138" s="35" t="n"/>
      <c r="D138" s="35" t="n"/>
      <c r="E138" s="64" t="n"/>
      <c r="F138" s="70" t="n"/>
      <c r="G138" s="70" t="n"/>
      <c r="H138" s="71" t="n"/>
      <c r="I138" s="71" t="n"/>
      <c r="J138" s="68" t="n"/>
    </row>
    <row r="139" ht="14" customHeight="1">
      <c r="B139" s="35" t="n"/>
      <c r="C139" s="35" t="n"/>
      <c r="D139" s="35" t="n"/>
      <c r="E139" s="64" t="n"/>
      <c r="F139" s="70" t="n"/>
      <c r="G139" s="70" t="n"/>
      <c r="H139" s="71" t="n"/>
      <c r="I139" s="71" t="n"/>
      <c r="J139" s="68" t="n"/>
    </row>
    <row r="140">
      <c r="B140" s="35" t="n"/>
      <c r="C140" s="35" t="n"/>
      <c r="D140" s="35" t="n"/>
      <c r="E140" s="64" t="n"/>
      <c r="F140" s="70" t="n"/>
      <c r="G140" s="70" t="n"/>
      <c r="H140" s="71" t="n"/>
      <c r="I140" s="71" t="n"/>
      <c r="J140" s="68" t="n"/>
    </row>
    <row r="141">
      <c r="B141" s="35" t="n"/>
      <c r="C141" s="35" t="n"/>
      <c r="D141" s="35" t="n"/>
      <c r="E141" s="64" t="n"/>
      <c r="F141" s="70" t="n"/>
      <c r="G141" s="70" t="n"/>
      <c r="H141" s="71" t="n"/>
      <c r="I141" s="71" t="n"/>
      <c r="J141" s="68" t="n"/>
    </row>
    <row r="142">
      <c r="B142" s="35" t="n"/>
      <c r="C142" s="35" t="n"/>
      <c r="D142" s="35" t="n"/>
      <c r="E142" s="64" t="n"/>
      <c r="F142" s="70" t="n"/>
      <c r="G142" s="70" t="n"/>
      <c r="H142" s="71" t="n"/>
      <c r="I142" s="71" t="n"/>
      <c r="J142" s="68" t="n"/>
    </row>
    <row r="143">
      <c r="B143" s="13" t="inlineStr">
        <is>
          <t>* αm overridden in the restraints table.  Full working for the governing segment follows.</t>
        </is>
      </c>
    </row>
    <row r="145" ht="20" customHeight="1">
      <c r="B145" s="10" t="inlineStr">
        <is>
          <t>Governing Segment – Working</t>
        </is>
      </c>
      <c r="C145" s="11" t="n"/>
      <c r="D145" s="11" t="n"/>
      <c r="E145" s="11" t="n"/>
      <c r="F145" s="11" t="n"/>
      <c r="G145" s="11" t="n"/>
      <c r="H145" s="11" t="n"/>
      <c r="I145" s="11" t="n"/>
      <c r="J145" s="11" t="n"/>
    </row>
    <row r="146">
      <c r="B146" s="13" t="inlineStr">
        <is>
          <t>OAR.ULSDETAIL: change the comboId / segment arguments to show any other segment.</t>
        </is>
      </c>
    </row>
    <row r="147">
      <c r="D147" s="72" cm="1">
        <f t="array" ref="D147">OAR.ULSDETAIL(SectionSize,Grade,Span,E_mod,IncludeSW,Loads_B1[[Case]:[End (mm)]],_xlfn.ANCHORARRAY(B66),Restraints_B1[#Data],$F$87:$G$89)</f>
        <v/>
      </c>
      <c r="E147" s="73" t="n"/>
      <c r="F147" s="36" t="n"/>
    </row>
    <row r="148">
      <c r="D148" s="72" t="n"/>
      <c r="E148" s="73" t="n"/>
      <c r="F148" s="36" t="n"/>
    </row>
    <row r="149">
      <c r="D149" s="72" t="n"/>
      <c r="E149" s="73" t="n"/>
      <c r="F149" s="36" t="n"/>
    </row>
    <row r="150">
      <c r="D150" s="72" t="n"/>
      <c r="E150" s="73" t="n"/>
      <c r="F150" s="36" t="n"/>
    </row>
    <row r="151">
      <c r="D151" s="72" t="n"/>
      <c r="E151" s="73" t="n"/>
      <c r="F151" s="36" t="n"/>
    </row>
    <row r="152">
      <c r="D152" s="72" t="n"/>
      <c r="E152" s="73" t="n"/>
      <c r="F152" s="36" t="n"/>
    </row>
    <row r="153">
      <c r="D153" s="72" t="n"/>
      <c r="E153" s="73" t="n"/>
      <c r="F153" s="36" t="n"/>
    </row>
    <row r="154">
      <c r="D154" s="72" t="n"/>
      <c r="E154" s="73" t="n"/>
      <c r="F154" s="36" t="n"/>
    </row>
    <row r="155">
      <c r="D155" s="72" t="n"/>
      <c r="E155" s="73" t="n"/>
      <c r="F155" s="36" t="n"/>
    </row>
    <row r="156">
      <c r="D156" s="72" t="n"/>
      <c r="E156" s="73" t="n"/>
      <c r="F156" s="36" t="n"/>
    </row>
    <row r="157">
      <c r="D157" s="72" t="n"/>
      <c r="E157" s="73" t="n"/>
      <c r="F157" s="36" t="n"/>
    </row>
    <row r="158">
      <c r="D158" s="72" t="n"/>
      <c r="E158" s="73" t="n"/>
      <c r="F158" s="36" t="n"/>
    </row>
    <row r="159">
      <c r="D159" s="72" t="n"/>
      <c r="E159" s="73" t="n"/>
      <c r="F159" s="36" t="n"/>
    </row>
    <row r="160">
      <c r="D160" s="72" t="n"/>
      <c r="E160" s="73" t="n"/>
      <c r="F160" s="36" t="n"/>
    </row>
    <row r="161">
      <c r="D161" s="72" t="n"/>
      <c r="E161" s="73" t="n"/>
      <c r="F161" s="36" t="n"/>
    </row>
    <row r="162">
      <c r="D162" s="72" t="n"/>
      <c r="E162" s="73" t="n"/>
      <c r="F162" s="36" t="n"/>
    </row>
    <row r="163">
      <c r="D163" s="72" t="n"/>
      <c r="E163" s="73" t="n"/>
      <c r="F163" s="36" t="n"/>
    </row>
    <row r="164">
      <c r="D164" s="72" t="n"/>
      <c r="E164" s="73" t="n"/>
      <c r="F164" s="36" t="n"/>
    </row>
    <row r="165">
      <c r="D165" s="72" t="n"/>
      <c r="E165" s="73" t="n"/>
      <c r="F165" s="36" t="n"/>
    </row>
    <row r="166">
      <c r="D166" s="72" t="n"/>
      <c r="E166" s="73" t="n"/>
      <c r="F166" s="36" t="n"/>
    </row>
    <row r="167">
      <c r="D167" s="72" t="n"/>
      <c r="E167" s="73" t="n"/>
      <c r="F167" s="36" t="n"/>
    </row>
    <row r="168">
      <c r="D168" s="72" t="n"/>
      <c r="E168" s="73" t="n"/>
      <c r="F168" s="36" t="n"/>
    </row>
    <row r="170" ht="20" customHeight="1">
      <c r="B170" s="10" t="inlineStr">
        <is>
          <t>Shear (AS 4100 Cl. 5.11)</t>
        </is>
      </c>
      <c r="C170" s="11" t="n"/>
      <c r="D170" s="11" t="n"/>
      <c r="E170" s="11" t="n"/>
      <c r="F170" s="11" t="n"/>
      <c r="G170" s="11" t="n"/>
      <c r="H170" s="11" t="n"/>
      <c r="I170" s="11" t="n"/>
      <c r="J170" s="11" t="n"/>
    </row>
    <row r="171">
      <c r="B171" s="60" t="inlineStr">
        <is>
          <t>Combo</t>
        </is>
      </c>
      <c r="C171" s="60" t="inlineStr">
        <is>
          <t>V* (kN)</t>
        </is>
      </c>
      <c r="D171" s="60" t="inlineStr">
        <is>
          <t>at x (m)</t>
        </is>
      </c>
      <c r="E171" s="60" t="inlineStr">
        <is>
          <t>φVv (kN)</t>
        </is>
      </c>
      <c r="F171" s="60" t="inlineStr">
        <is>
          <t>Utilisation</t>
        </is>
      </c>
      <c r="G171" s="60" t="inlineStr">
        <is>
          <t>Note</t>
        </is>
      </c>
    </row>
    <row r="172">
      <c r="B172" s="35" cm="1">
        <f t="array" ref="B172">OAR.SHEAR(SectionSize,Grade,Span,IncludeSW,Loads_B1[[Case]:[End (mm)]],_xlfn.ANCHORARRAY(B66))</f>
        <v/>
      </c>
      <c r="C172" s="71" t="n"/>
      <c r="D172" s="64" t="n"/>
      <c r="E172" s="71" t="n"/>
      <c r="F172" s="68" t="n"/>
      <c r="G172" s="74" t="n"/>
    </row>
    <row r="173">
      <c r="B173" s="35" t="n"/>
      <c r="C173" s="71" t="n"/>
      <c r="D173" s="64" t="n"/>
      <c r="E173" s="71" t="n"/>
      <c r="F173" s="68" t="n"/>
      <c r="G173" s="74" t="n"/>
    </row>
    <row r="174">
      <c r="B174" s="35" t="n"/>
      <c r="C174" s="71" t="n"/>
      <c r="D174" s="64" t="n"/>
      <c r="E174" s="71" t="n"/>
      <c r="F174" s="68" t="n"/>
      <c r="G174" s="74" t="n"/>
    </row>
    <row r="175">
      <c r="B175" s="35" t="n"/>
      <c r="C175" s="71" t="n"/>
      <c r="D175" s="64" t="n"/>
      <c r="E175" s="71" t="n"/>
      <c r="F175" s="68" t="n"/>
      <c r="G175" s="74" t="n"/>
    </row>
    <row r="176">
      <c r="B176" s="35" t="n"/>
      <c r="C176" s="71" t="n"/>
      <c r="D176" s="64" t="n"/>
      <c r="E176" s="71" t="n"/>
      <c r="F176" s="68" t="n"/>
      <c r="G176" s="74" t="n"/>
    </row>
    <row r="177">
      <c r="B177" s="35" t="n"/>
      <c r="C177" s="71" t="n"/>
      <c r="D177" s="64" t="n"/>
      <c r="E177" s="71" t="n"/>
      <c r="F177" s="68" t="n"/>
      <c r="G177" s="74" t="n"/>
    </row>
    <row r="178">
      <c r="B178" s="35" t="n"/>
      <c r="C178" s="71" t="n"/>
      <c r="D178" s="64" t="n"/>
      <c r="E178" s="71" t="n"/>
      <c r="F178" s="68" t="n"/>
      <c r="G178" s="74" t="n"/>
    </row>
    <row r="179">
      <c r="B179" s="35" t="n"/>
      <c r="C179" s="71" t="n"/>
      <c r="D179" s="64" t="n"/>
      <c r="E179" s="71" t="n"/>
      <c r="F179" s="68" t="n"/>
      <c r="G179" s="74" t="n"/>
    </row>
    <row r="181" ht="20" customHeight="1">
      <c r="B181" s="10" t="inlineStr">
        <is>
          <t>Support Reactions</t>
        </is>
      </c>
      <c r="C181" s="11" t="n"/>
      <c r="D181" s="11" t="n"/>
      <c r="E181" s="11" t="n"/>
      <c r="F181" s="11" t="n"/>
      <c r="G181" s="11" t="n"/>
      <c r="H181" s="11" t="n"/>
      <c r="I181" s="11" t="n"/>
      <c r="J181" s="11" t="n"/>
    </row>
    <row r="182">
      <c r="B182" s="13" t="inlineStr">
        <is>
          <t>Unfactored, per case, positive in the case direction (Wu/Wiu = uplift). Self-weight is in G.  To load another beam: add a Point row with the same case and set Direct to e.g. ='B1'!RxnR_G</t>
        </is>
      </c>
    </row>
    <row r="183">
      <c r="B183" s="25" t="inlineStr">
        <is>
          <t>Case</t>
        </is>
      </c>
      <c r="D183" s="25" t="inlineStr">
        <is>
          <t>Left (kN)</t>
        </is>
      </c>
      <c r="E183" s="25" t="inlineStr">
        <is>
          <t>Right (kN)</t>
        </is>
      </c>
      <c r="F183" s="25" t="inlineStr">
        <is>
          <t>Transfer names</t>
        </is>
      </c>
    </row>
    <row r="184">
      <c r="B184" s="52" t="inlineStr">
        <is>
          <t>G</t>
        </is>
      </c>
      <c r="C184" s="53" t="n"/>
      <c r="D184" s="37" cm="1">
        <f t="array" ref="D184">INDEX(OAR.REACTIONS(SectionSize,Span,IncludeSW,Loads_B1[[Case]:[End (mm)]],_xlfn.ANCHORARRAY(B66)),1,2)</f>
        <v/>
      </c>
      <c r="E184" s="37" cm="1">
        <f t="array" ref="E184">INDEX(OAR.REACTIONS(SectionSize,Span,IncludeSW,Loads_B1[[Case]:[End (mm)]],_xlfn.ANCHORARRAY(B66)),1,3)</f>
        <v/>
      </c>
      <c r="F184" s="21" t="inlineStr">
        <is>
          <t>RxnL_G  ·  RxnR_G</t>
        </is>
      </c>
    </row>
    <row r="185">
      <c r="B185" s="52" t="inlineStr">
        <is>
          <t>Q</t>
        </is>
      </c>
      <c r="C185" s="53" t="n"/>
      <c r="D185" s="37" cm="1">
        <f t="array" ref="D185">INDEX(OAR.REACTIONS(SectionSize,Span,IncludeSW,Loads_B1[[Case]:[End (mm)]],_xlfn.ANCHORARRAY(B66)),2,2)</f>
        <v/>
      </c>
      <c r="E185" s="37" cm="1">
        <f t="array" ref="E185">INDEX(OAR.REACTIONS(SectionSize,Span,IncludeSW,Loads_B1[[Case]:[End (mm)]],_xlfn.ANCHORARRAY(B66)),2,3)</f>
        <v/>
      </c>
      <c r="F185" s="21" t="inlineStr">
        <is>
          <t>RxnL_Q  ·  RxnR_Q</t>
        </is>
      </c>
    </row>
    <row r="186">
      <c r="B186" s="52" t="inlineStr">
        <is>
          <t>Wd</t>
        </is>
      </c>
      <c r="C186" s="53" t="n"/>
      <c r="D186" s="37" cm="1">
        <f t="array" ref="D186">INDEX(OAR.REACTIONS(SectionSize,Span,IncludeSW,Loads_B1[[Case]:[End (mm)]],_xlfn.ANCHORARRAY(B66)),3,2)</f>
        <v/>
      </c>
      <c r="E186" s="37" cm="1">
        <f t="array" ref="E186">INDEX(OAR.REACTIONS(SectionSize,Span,IncludeSW,Loads_B1[[Case]:[End (mm)]],_xlfn.ANCHORARRAY(B66)),3,3)</f>
        <v/>
      </c>
      <c r="F186" s="21" t="inlineStr">
        <is>
          <t>RxnL_Wd  ·  RxnR_Wd</t>
        </is>
      </c>
    </row>
    <row r="187">
      <c r="B187" s="52" t="inlineStr">
        <is>
          <t>Wu</t>
        </is>
      </c>
      <c r="C187" s="53" t="n"/>
      <c r="D187" s="37" cm="1">
        <f t="array" ref="D187">-INDEX(OAR.REACTIONS(SectionSize,Span,IncludeSW,Loads_B1[[Case]:[End (mm)]],_xlfn.ANCHORARRAY(B66)),4,2)</f>
        <v/>
      </c>
      <c r="E187" s="37" cm="1">
        <f t="array" ref="E187">-INDEX(OAR.REACTIONS(SectionSize,Span,IncludeSW,Loads_B1[[Case]:[End (mm)]],_xlfn.ANCHORARRAY(B66)),4,3)</f>
        <v/>
      </c>
      <c r="F187" s="21" t="inlineStr">
        <is>
          <t>RxnL_Wu  ·  RxnR_Wu</t>
        </is>
      </c>
    </row>
    <row r="188">
      <c r="B188" s="52" t="inlineStr">
        <is>
          <t>Wid</t>
        </is>
      </c>
      <c r="C188" s="53" t="n"/>
      <c r="D188" s="37" cm="1">
        <f t="array" ref="D188">INDEX(OAR.REACTIONS(SectionSize,Span,IncludeSW,Loads_B1[[Case]:[End (mm)]],_xlfn.ANCHORARRAY(B66)),5,2)</f>
        <v/>
      </c>
      <c r="E188" s="37" cm="1">
        <f t="array" ref="E188">INDEX(OAR.REACTIONS(SectionSize,Span,IncludeSW,Loads_B1[[Case]:[End (mm)]],_xlfn.ANCHORARRAY(B66)),5,3)</f>
        <v/>
      </c>
      <c r="F188" s="21" t="inlineStr">
        <is>
          <t>RxnL_Wid  ·  RxnR_Wid</t>
        </is>
      </c>
    </row>
    <row r="189">
      <c r="B189" s="52" t="inlineStr">
        <is>
          <t>Wiu</t>
        </is>
      </c>
      <c r="C189" s="53" t="n"/>
      <c r="D189" s="37" cm="1">
        <f t="array" ref="D189">-INDEX(OAR.REACTIONS(SectionSize,Span,IncludeSW,Loads_B1[[Case]:[End (mm)]],_xlfn.ANCHORARRAY(B66)),6,2)</f>
        <v/>
      </c>
      <c r="E189" s="37" cm="1">
        <f t="array" ref="E189">-INDEX(OAR.REACTIONS(SectionSize,Span,IncludeSW,Loads_B1[[Case]:[End (mm)]],_xlfn.ANCHORARRAY(B66)),6,3)</f>
        <v/>
      </c>
      <c r="F189" s="21" t="inlineStr">
        <is>
          <t>RxnL_Wiu  ·  RxnR_Wiu</t>
        </is>
      </c>
    </row>
    <row r="191">
      <c r="B191" s="13" t="inlineStr">
        <is>
          <t>All cases and active combinations (kN, + = upward reaction; uplift cases show negative)</t>
        </is>
      </c>
    </row>
    <row r="192">
      <c r="B192" s="60" t="inlineStr">
        <is>
          <t>ID</t>
        </is>
      </c>
      <c r="C192" s="60" t="inlineStr">
        <is>
          <t>Left (kN)</t>
        </is>
      </c>
      <c r="D192" s="60" t="inlineStr">
        <is>
          <t>Right (kN)</t>
        </is>
      </c>
    </row>
    <row r="193">
      <c r="B193" s="35" cm="1">
        <f t="array" ref="B193">OAR.REACTIONS(SectionSize,Span,IncludeSW,Loads_B1[[Case]:[End (mm)]],_xlfn.ANCHORARRAY(B66))</f>
        <v/>
      </c>
      <c r="C193" s="64" t="n"/>
      <c r="D193" s="64" t="n"/>
    </row>
    <row r="194">
      <c r="B194" s="35" t="n"/>
      <c r="C194" s="64" t="n"/>
      <c r="D194" s="64" t="n"/>
    </row>
    <row r="195">
      <c r="B195" s="35" t="n"/>
      <c r="C195" s="64" t="n"/>
      <c r="D195" s="64" t="n"/>
    </row>
    <row r="196">
      <c r="B196" s="35" t="n"/>
      <c r="C196" s="64" t="n"/>
      <c r="D196" s="64" t="n"/>
    </row>
    <row r="197">
      <c r="B197" s="35" t="n"/>
      <c r="C197" s="64" t="n"/>
      <c r="D197" s="64" t="n"/>
    </row>
    <row r="198">
      <c r="B198" s="35" t="n"/>
      <c r="C198" s="64" t="n"/>
      <c r="D198" s="64" t="n"/>
    </row>
    <row r="199">
      <c r="B199" s="35" t="n"/>
      <c r="C199" s="64" t="n"/>
      <c r="D199" s="64" t="n"/>
    </row>
    <row r="200">
      <c r="B200" s="35" t="n"/>
      <c r="C200" s="64" t="n"/>
      <c r="D200" s="64" t="n"/>
    </row>
    <row r="201">
      <c r="B201" s="35" t="n"/>
      <c r="C201" s="64" t="n"/>
      <c r="D201" s="64" t="n"/>
    </row>
    <row r="202">
      <c r="B202" s="35" t="n"/>
      <c r="C202" s="64" t="n"/>
      <c r="D202" s="64" t="n"/>
    </row>
    <row r="203">
      <c r="B203" s="35" t="n"/>
      <c r="C203" s="64" t="n"/>
      <c r="D203" s="64" t="n"/>
    </row>
    <row r="204">
      <c r="B204" s="35" t="n"/>
      <c r="C204" s="64" t="n"/>
      <c r="D204" s="64" t="n"/>
    </row>
    <row r="205">
      <c r="B205" s="35" t="n"/>
      <c r="C205" s="64" t="n"/>
      <c r="D205" s="64" t="n"/>
    </row>
    <row r="206">
      <c r="B206" s="35" t="n"/>
      <c r="C206" s="64" t="n"/>
      <c r="D206" s="64" t="n"/>
    </row>
  </sheetData>
  <mergeCells count="40">
    <mergeCell ref="B16:C16"/>
    <mergeCell ref="B185:C185"/>
    <mergeCell ref="F10:G10"/>
    <mergeCell ref="F187:G187"/>
    <mergeCell ref="F183:G183"/>
    <mergeCell ref="B22:C22"/>
    <mergeCell ref="B18:C18"/>
    <mergeCell ref="B184:C184"/>
    <mergeCell ref="B10:D10"/>
    <mergeCell ref="B39:C39"/>
    <mergeCell ref="B21:C21"/>
    <mergeCell ref="M8:T40"/>
    <mergeCell ref="F189:G189"/>
    <mergeCell ref="B23:C23"/>
    <mergeCell ref="G2:J2"/>
    <mergeCell ref="B17:C17"/>
    <mergeCell ref="B6:J6"/>
    <mergeCell ref="F188:G188"/>
    <mergeCell ref="I3:J3"/>
    <mergeCell ref="B13:C13"/>
    <mergeCell ref="B38:C38"/>
    <mergeCell ref="E30:F30"/>
    <mergeCell ref="F185:G185"/>
    <mergeCell ref="B19:C19"/>
    <mergeCell ref="B37:C37"/>
    <mergeCell ref="B186:C186"/>
    <mergeCell ref="F184:G184"/>
    <mergeCell ref="B40:C40"/>
    <mergeCell ref="B187:C187"/>
    <mergeCell ref="I1:J1"/>
    <mergeCell ref="B183:C183"/>
    <mergeCell ref="I4:J4"/>
    <mergeCell ref="F186:G186"/>
    <mergeCell ref="B15:C15"/>
    <mergeCell ref="I10:J10"/>
    <mergeCell ref="B189:C189"/>
    <mergeCell ref="B36:C36"/>
    <mergeCell ref="B41:C41"/>
    <mergeCell ref="B188:C188"/>
    <mergeCell ref="I9:J9"/>
  </mergeCells>
  <conditionalFormatting sqref="I14:I23">
    <cfRule type="dataBar" priority="1">
      <dataBar showValue="1">
        <cfvo type="num" val="0"/>
        <cfvo type="num" val="1"/>
        <color rgb="009DB3A9"/>
      </dataBar>
    </cfRule>
    <cfRule type="expression" priority="2" dxfId="0">
      <formula>AND(ISNUMBER(I14),I14&gt;1)</formula>
    </cfRule>
  </conditionalFormatting>
  <conditionalFormatting sqref="J14:J23">
    <cfRule type="cellIs" priority="3" operator="equal" dxfId="1">
      <formula>"NG"</formula>
    </cfRule>
    <cfRule type="cellIs" priority="4" operator="equal" dxfId="2">
      <formula>"OK"</formula>
    </cfRule>
  </conditionalFormatting>
  <conditionalFormatting sqref="I10:J10">
    <cfRule type="expression" priority="5" dxfId="3">
      <formula>$I$10="PASS"</formula>
    </cfRule>
    <cfRule type="expression" priority="6" dxfId="4">
      <formula>$I$10="FAIL"</formula>
    </cfRule>
  </conditionalFormatting>
  <conditionalFormatting sqref="F10">
    <cfRule type="expression" priority="7" dxfId="0">
      <formula>AND(ISNUMBER(F10),F10&gt;1)</formula>
    </cfRule>
  </conditionalFormatting>
  <conditionalFormatting sqref="J47:J57">
    <cfRule type="expression" priority="8" dxfId="5">
      <formula>$C47="Point"</formula>
    </cfRule>
  </conditionalFormatting>
  <conditionalFormatting sqref="E47:E57">
    <cfRule type="expression" priority="9" dxfId="6">
      <formula>$C47="Point"</formula>
    </cfRule>
  </conditionalFormatting>
  <conditionalFormatting sqref="B66:J73">
    <cfRule type="expression" priority="10" dxfId="7">
      <formula>$B66&lt;&gt;""</formula>
    </cfRule>
  </conditionalFormatting>
  <conditionalFormatting sqref="B22:J22">
    <cfRule type="expression" priority="11" dxfId="8">
      <formula>NumUpliftCombos=0</formula>
    </cfRule>
  </conditionalFormatting>
  <conditionalFormatting sqref="B93:G97">
    <cfRule type="expression" priority="12" dxfId="7">
      <formula>$B93&lt;&gt;""</formula>
    </cfRule>
  </conditionalFormatting>
  <conditionalFormatting sqref="G93:G97">
    <cfRule type="expression" priority="13" dxfId="0">
      <formula>AND(ISNUMBER(G93),G93&gt;1)</formula>
    </cfRule>
  </conditionalFormatting>
  <conditionalFormatting sqref="B127:J142">
    <cfRule type="expression" priority="14" dxfId="7">
      <formula>$B127&lt;&gt;""</formula>
    </cfRule>
  </conditionalFormatting>
  <conditionalFormatting sqref="J127:J142">
    <cfRule type="expression" priority="15" dxfId="0">
      <formula>AND(ISNUMBER(J127),J127&gt;1)</formula>
    </cfRule>
  </conditionalFormatting>
  <conditionalFormatting sqref="C127:C142">
    <cfRule type="expression" priority="16" dxfId="9">
      <formula>RIGHT(C127,1)="*"</formula>
    </cfRule>
  </conditionalFormatting>
  <conditionalFormatting sqref="B172:F179">
    <cfRule type="expression" priority="17" dxfId="7">
      <formula>$B172&lt;&gt;""</formula>
    </cfRule>
  </conditionalFormatting>
  <conditionalFormatting sqref="F172:F179">
    <cfRule type="expression" priority="18" dxfId="0">
      <formula>AND(ISNUMBER(F172),F172&gt;1)</formula>
    </cfRule>
  </conditionalFormatting>
  <conditionalFormatting sqref="B193:D206">
    <cfRule type="expression" priority="19" dxfId="7">
      <formula>$B193&lt;&gt;""</formula>
    </cfRule>
  </conditionalFormatting>
  <dataValidations count="14">
    <dataValidation sqref="E26" showDropDown="0" showInputMessage="0" showErrorMessage="0" allowBlank="0" type="list">
      <formula1>"UB,UC,WB,PFC"</formula1>
    </dataValidation>
    <dataValidation sqref="E32" showDropDown="0" showInputMessage="0" showErrorMessage="0" allowBlank="0" type="list">
      <formula1>"Yes,No"</formula1>
    </dataValidation>
    <dataValidation sqref="E30" showDropDown="0" showInputMessage="0" showErrorMessage="0" allowBlank="0" type="list">
      <formula1>"Simply supported"</formula1>
    </dataValidation>
    <dataValidation sqref="E28" showDropDown="0" showInputMessage="0" showErrorMessage="0" allowBlank="0" type="list">
      <formula1>"250,300,350,400"</formula1>
    </dataValidation>
    <dataValidation sqref="B47:B57" showDropDown="0" showInputMessage="0" showErrorMessage="0" allowBlank="1" type="list">
      <formula1>"G,Q,Wd,Wu,Wid,Wiu"</formula1>
    </dataValidation>
    <dataValidation sqref="C47:C57" showDropDown="0" showInputMessage="0" showErrorMessage="0" allowBlank="1" type="list">
      <formula1>"UDL,PUDL,Point"</formula1>
    </dataValidation>
    <dataValidation sqref="D47:D57" showDropDown="0" showInputMessage="0" showErrorMessage="0" allowBlank="1" type="list">
      <formula1>OFFSET($AQ$10,MATCH($B47,$AP$10:$AP$71,0)-1,0,COUNTIF($AP$10:$AP$71,$B47),1)</formula1>
    </dataValidation>
    <dataValidation sqref="M47:M84" showDropDown="0" showInputMessage="0" showErrorMessage="0" allowBlank="1" type="list">
      <formula1>"Yes,No"</formula1>
    </dataValidation>
    <dataValidation sqref="O47:O84" showDropDown="0" showInputMessage="0" showErrorMessage="0" allowBlank="0" type="list">
      <formula1>"Gravity,Wind,Storage,Custom"</formula1>
    </dataValidation>
    <dataValidation sqref="Q47:Q84" showDropDown="0" showInputMessage="0" showErrorMessage="0" allowBlank="0" type="list">
      <formula1>"Top,Bottom"</formula1>
    </dataValidation>
    <dataValidation sqref="E63" showDropDown="0" showInputMessage="0" showErrorMessage="0" allowBlank="0" type="list">
      <formula1>"Floor,Roof,All,Custom"</formula1>
    </dataValidation>
    <dataValidation sqref="E77:F83" showDropDown="0" showInputMessage="0" showErrorMessage="0" allowBlank="0" type="list">
      <formula1>"F,P,L,U,–"</formula1>
    </dataValidation>
    <dataValidation sqref="F89:G89" showDropDown="0" showInputMessage="0" showErrorMessage="0" allowBlank="0" type="list">
      <formula1>"Yes,No"</formula1>
    </dataValidation>
    <dataValidation sqref="E27" showDropDown="0" showInputMessage="0" showErrorMessage="1" allowBlank="0" errorTitle="Section size" error="Pick a section from the list for the selected Section type." type="list">
      <formula1>IF(ISERROR($AL$8),$AN$8:$AN$88,OFFSET($AL$8,0,0,MAX(1,COUNTA($AL$8:$AL$300)),1))</formula1>
    </dataValidation>
  </dataValidations>
  <pageMargins left="0.5" right="0.5" top="0.5" bottom="0.6" header="0.2" footer="0.25"/>
  <pageSetup orientation="portrait" paperSize="9" fitToHeight="0" fitToWidth="1"/>
  <headerFooter>
    <oddHeader/>
    <oddFooter>&amp;L&amp;"Arial"&amp;7 &amp;K595959OAR Consulting Engineers Pty Ltd&amp;C&amp;"Arial"&amp;7 &amp;K595959&amp;A&amp;R&amp;"Arial"&amp;7 &amp;K595959Page &amp;P of &amp;N</oddFooter>
    <evenHeader/>
    <evenFooter/>
    <firstHeader/>
    <firstFooter/>
  </headerFooter>
  <rowBreaks count="3" manualBreakCount="3">
    <brk id="42" min="0" max="16383" man="1"/>
    <brk id="90" min="0" max="16383" man="1"/>
    <brk id="144" min="0" max="16383" man="1"/>
  </rowBreaks>
  <drawing xmlns:r="http://schemas.openxmlformats.org/officeDocument/2006/relationships" r:id="rId1"/>
  <tableParts count="4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2026-10-27T14:35:21Z</dcterms:created>
  <dcterms:modified xmlns:dcterms="http://purl.org/dc/terms/" xmlns:xsi="http://www.w3.org/2001/XMLSchema-instance" xsi:type="dcterms:W3CDTF">2026-10-27T14:35:21Z</dcterms:modified>
</cp:coreProperties>
</file>