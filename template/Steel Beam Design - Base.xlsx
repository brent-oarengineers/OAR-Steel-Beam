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'B1'!$E$76</definedName>
    <definedName name="PsiC" localSheetId="0">'B1'!$G$76</definedName>
    <definedName name="kl_Top" localSheetId="0">'B1'!$I$90</definedName>
    <definedName name="kl_Bot" localSheetId="0">'B1'!$J$90</definedName>
    <definedName name="kr_Top" localSheetId="0">'B1'!$I$91</definedName>
    <definedName name="kr_Bot" localSheetId="0">'B1'!$J$91</definedName>
    <definedName name="RxnL_G" localSheetId="0">'B1'!$D$190</definedName>
    <definedName name="RxnR_G" localSheetId="0">'B1'!$E$190</definedName>
    <definedName name="RxnL_Q" localSheetId="0">'B1'!$D$191</definedName>
    <definedName name="RxnR_Q" localSheetId="0">'B1'!$E$191</definedName>
    <definedName name="RxnL_Wd" localSheetId="0">'B1'!$D$192</definedName>
    <definedName name="RxnR_Wd" localSheetId="0">'B1'!$E$192</definedName>
    <definedName name="RxnL_Wu" localSheetId="0">'B1'!$D$193</definedName>
    <definedName name="RxnR_Wu" localSheetId="0">'B1'!$E$193</definedName>
    <definedName name="RxnL_Wid" localSheetId="0">'B1'!$D$194</definedName>
    <definedName name="RxnR_Wid" localSheetId="0">'B1'!$E$194</definedName>
    <definedName name="RxnL_Wiu" localSheetId="0">'B1'!$D$195</definedName>
    <definedName name="RxnR_Wiu" localSheetId="0">'B1'!$E$195</definedName>
    <definedName name="Out_Reactions" localSheetId="0">'B1'!$B$199</definedName>
    <definedName name="_xlnm.Print_Area" localSheetId="0">'B1'!$A$1:$K$213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'B1'!AA90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'B1'!$AA$91:$AA$170</f>
            </numRef>
          </yVal>
          <smooth val="0"/>
        </ser>
        <ser>
          <idx val="1"/>
          <order val="1"/>
          <tx>
            <strRef>
              <f>'B1'!AB90</f>
            </strRef>
          </tx>
          <spPr>
            <a:ln xmlns:a="http://schemas.openxmlformats.org/drawingml/2006/main" w="19050">
              <a:solidFill>
                <a:srgbClr val="C07A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'B1'!$AB$91:$AB$170</f>
            </numRef>
          </yVal>
          <smooth val="0"/>
        </ser>
        <ser>
          <idx val="2"/>
          <order val="2"/>
          <tx>
            <strRef>
              <f>'B1'!AC90</f>
            </strRef>
          </tx>
          <spPr>
            <a:ln xmlns:a="http://schemas.openxmlformats.org/drawingml/2006/main" w="19050">
              <a:solidFill>
                <a:srgbClr val="6E8FB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'B1'!$AC$91:$AC$170</f>
            </numRef>
          </yVal>
          <smooth val="0"/>
        </ser>
        <ser>
          <idx val="3"/>
          <order val="3"/>
          <tx>
            <strRef>
              <f>'B1'!AD90</f>
            </strRef>
          </tx>
          <spPr>
            <a:ln xmlns:a="http://schemas.openxmlformats.org/drawingml/2006/main" w="19050">
              <a:solidFill>
                <a:srgbClr val="9C5D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'B1'!$AD$91:$AD$170</f>
            </numRef>
          </yVal>
          <smooth val="0"/>
        </ser>
        <ser>
          <idx val="4"/>
          <order val="4"/>
          <tx>
            <strRef>
              <f>'B1'!AE90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'B1'!$AE$91:$AE$170</f>
            </numRef>
          </yVal>
          <smooth val="0"/>
        </ser>
        <ser>
          <idx val="5"/>
          <order val="5"/>
          <tx>
            <strRef>
              <f>'B1'!AF90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'B1'!$Z$91:$Z$170</f>
            </numRef>
          </xVal>
          <yVal>
            <numRef>
              <f>'B1'!$AF$91:$AF$170</f>
            </numRef>
          </yVal>
          <smooth val="0"/>
        </ser>
        <ser>
          <idx val="6"/>
          <order val="6"/>
          <tx>
            <v>Point loads (kN)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262626"/>
              </a:solidFill>
              <a:ln xmlns:a="http://schemas.openxmlformats.org/drawingml/2006/main">
                <a:prstDash val="solid"/>
              </a:ln>
            </spPr>
          </marker>
          <errBars>
            <errDir val="y"/>
            <errBarType val="minus"/>
            <errValType val="percentage"/>
            <noEndCap val="1"/>
            <val val="100"/>
          </errBars>
          <xVal>
            <numRef>
              <f>'B1'!$AH$91:$AH$110</f>
            </numRef>
          </xVal>
          <yVal>
            <numRef>
              <f>'B1'!$AI$90:$AI$110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kN/m · kN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62</row>
      <rowOff>0</rowOff>
    </from>
    <ext cx="6336000" cy="1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105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119</row>
      <rowOff>0</rowOff>
    </from>
    <ext cx="6336000" cy="1944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89:G94" headerRowCount="1">
  <autoFilter ref="B89:G94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S212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(mm)]],_xlfn.ANCHORARRAY(B79),Restraints_B1[#Data],$I$90:$J$91)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(mm)]],_xlfn.ANCHORARRAY(B79),60)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</row>
    <row r="14" ht="14" customHeight="1">
      <c r="B14" s="32" t="inlineStr">
        <is>
          <t>Serviceability</t>
        </is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</row>
    <row r="15" ht="14" customHeight="1">
      <c r="B15" s="34" t="inlineStr">
        <is>
          <t>Δg</t>
        </is>
      </c>
      <c r="D15" s="35" t="inlineStr">
        <is>
          <t>Dead load</t>
        </is>
      </c>
      <c r="E15" s="36" cm="1">
        <f t="array" ref="E15">INDEX(_xlfn.ANCHORARRAY(B99),1,2)</f>
        <v/>
      </c>
      <c r="F15" s="36">
        <f>IF(N(E37)=0,"",IF(N(F37)=0,Span/E37,MIN(Span/E37,F37)))</f>
        <v/>
      </c>
      <c r="G15" s="37" t="inlineStr">
        <is>
          <t>mm</t>
        </is>
      </c>
      <c r="H15" s="38">
        <f>IF(N(E15)=0,"",Span/E15)</f>
        <v/>
      </c>
      <c r="I15" s="39">
        <f>IF(OR(E15="",N(F15)=0),"",ABS(E15)/F15)</f>
        <v/>
      </c>
      <c r="J15" s="40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</row>
    <row r="16" ht="14" customHeight="1">
      <c r="B16" s="34" t="inlineStr">
        <is>
          <t>Δg+ψl·q</t>
        </is>
      </c>
      <c r="D16" s="35" t="inlineStr">
        <is>
          <t>Long term</t>
        </is>
      </c>
      <c r="E16" s="36" cm="1">
        <f t="array" ref="E16">INDEX(_xlfn.ANCHORARRAY(B99),2,2)</f>
        <v/>
      </c>
      <c r="F16" s="36">
        <f>IF(N(E38)=0,"",IF(N(F38)=0,Span/E38,MIN(Span/E38,F38)))</f>
        <v/>
      </c>
      <c r="G16" s="37" t="inlineStr">
        <is>
          <t>mm</t>
        </is>
      </c>
      <c r="H16" s="38">
        <f>IF(N(E16)=0,"",Span/E16)</f>
        <v/>
      </c>
      <c r="I16" s="39">
        <f>IF(OR(E16="",N(F16)=0),"",ABS(E16)/F16)</f>
        <v/>
      </c>
      <c r="J16" s="40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</row>
    <row r="17" ht="14" customHeight="1">
      <c r="B17" s="34" t="inlineStr">
        <is>
          <t>Δg+ψs·q</t>
        </is>
      </c>
      <c r="D17" s="35" t="inlineStr">
        <is>
          <t>Short term</t>
        </is>
      </c>
      <c r="E17" s="36" cm="1">
        <f t="array" ref="E17">INDEX(_xlfn.ANCHORARRAY(B99),3,2)</f>
        <v/>
      </c>
      <c r="F17" s="36">
        <f>IF(N(E39)=0,"",IF(N(F39)=0,Span/E39,MIN(Span/E39,F39)))</f>
        <v/>
      </c>
      <c r="G17" s="37" t="inlineStr">
        <is>
          <t>mm</t>
        </is>
      </c>
      <c r="H17" s="38">
        <f>IF(N(E17)=0,"",Span/E17)</f>
        <v/>
      </c>
      <c r="I17" s="39">
        <f>IF(OR(E17="",N(F17)=0),"",ABS(E17)/F17)</f>
        <v/>
      </c>
      <c r="J17" s="40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</row>
    <row r="18" ht="14" customHeight="1">
      <c r="B18" s="34" t="inlineStr">
        <is>
          <t>Δq</t>
        </is>
      </c>
      <c r="D18" s="35" t="inlineStr">
        <is>
          <t>Live load only</t>
        </is>
      </c>
      <c r="E18" s="36" cm="1">
        <f t="array" ref="E18">INDEX(_xlfn.ANCHORARRAY(B99),4,2)</f>
        <v/>
      </c>
      <c r="F18" s="36">
        <f>IF(N(E40)=0,"",IF(N(F40)=0,Span/E40,MIN(Span/E40,F40)))</f>
        <v/>
      </c>
      <c r="G18" s="37" t="inlineStr">
        <is>
          <t>mm</t>
        </is>
      </c>
      <c r="H18" s="38">
        <f>IF(N(E18)=0,"",Span/E18)</f>
        <v/>
      </c>
      <c r="I18" s="39">
        <f>IF(OR(E18="",N(F18)=0),"",ABS(E18)/F18)</f>
        <v/>
      </c>
      <c r="J18" s="40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</row>
    <row r="19" ht="14" customHeight="1">
      <c r="B19" s="34" t="inlineStr">
        <is>
          <t>Δ1kN</t>
        </is>
      </c>
      <c r="D19" s="35" t="inlineStr">
        <is>
          <t>1 kN at midspan</t>
        </is>
      </c>
      <c r="E19" s="36" cm="1">
        <f t="array" ref="E19">INDEX(_xlfn.ANCHORARRAY(B99),5,2)</f>
        <v/>
      </c>
      <c r="F19" s="36">
        <f>IF(N(E41)=0,"",IF(N(F41)=0,Span/E41,MIN(Span/E41,F41)))</f>
        <v/>
      </c>
      <c r="G19" s="37" t="inlineStr">
        <is>
          <t>mm</t>
        </is>
      </c>
      <c r="H19" s="38">
        <f>IF(N(E19)=0,"",Span/E19)</f>
        <v/>
      </c>
      <c r="I19" s="39">
        <f>IF(OR(E19="",N(F19)=0),"",ABS(E19)/F19)</f>
        <v/>
      </c>
      <c r="J19" s="40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</row>
    <row r="20" ht="14" customHeight="1">
      <c r="B20" s="32" t="inlineStr">
        <is>
          <t>Strength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</row>
    <row r="21" ht="14" customHeight="1">
      <c r="B21" s="34" t="inlineStr">
        <is>
          <t>M* / φMbx</t>
        </is>
      </c>
      <c r="D21" s="35" t="inlineStr">
        <is>
          <t>Bending – gravity (top flange critical)</t>
        </is>
      </c>
      <c r="E21" s="41" cm="1">
        <f t="array" ref="E21">INDEX(_xlfn.ANCHORARRAY(Z8),1,2)</f>
        <v/>
      </c>
      <c r="F21" s="41" cm="1">
        <f t="array" ref="F21">INDEX(_xlfn.ANCHORARRAY(Z8),1,3)</f>
        <v/>
      </c>
      <c r="G21" s="37" t="inlineStr">
        <is>
          <t>kN·m</t>
        </is>
      </c>
      <c r="H21" s="19" t="inlineStr"/>
      <c r="I21" s="39">
        <f>IF(OR(E21="",N(F21)=0),"",ABS(E21)/F21)</f>
        <v/>
      </c>
      <c r="J21" s="40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</row>
    <row r="22" ht="14" customHeight="1">
      <c r="B22" s="34" t="inlineStr">
        <is>
          <t>M* / φMbx</t>
        </is>
      </c>
      <c r="D22" s="35">
        <f>IF(NumUpliftCombos=0,"Bending – uplift (no uplift combinations)","Bending – uplift (bottom flange critical)")</f>
        <v/>
      </c>
      <c r="E22" s="41" cm="1">
        <f t="array" ref="E22">INDEX(_xlfn.ANCHORARRAY(Z8),2,2)</f>
        <v/>
      </c>
      <c r="F22" s="41" cm="1">
        <f t="array" ref="F22">INDEX(_xlfn.ANCHORARRAY(Z8),2,3)</f>
        <v/>
      </c>
      <c r="G22" s="37" t="inlineStr">
        <is>
          <t>kN·m</t>
        </is>
      </c>
      <c r="H22" s="19" t="inlineStr"/>
      <c r="I22" s="39">
        <f>IF(OR(E22="",N(F22)=0),"",ABS(E22)/F22)</f>
        <v/>
      </c>
      <c r="J22" s="40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</row>
    <row r="23" ht="14" customHeight="1">
      <c r="B23" s="34" t="inlineStr">
        <is>
          <t>V* / φVv</t>
        </is>
      </c>
      <c r="D23" s="35" t="inlineStr">
        <is>
          <t>Shear</t>
        </is>
      </c>
      <c r="E23" s="41" cm="1">
        <f t="array" ref="E23">INDEX(_xlfn.ANCHORARRAY(Z8),3,2)</f>
        <v/>
      </c>
      <c r="F23" s="41" cm="1">
        <f t="array" ref="F23">INDEX(_xlfn.ANCHORARRAY(Z8),3,3)</f>
        <v/>
      </c>
      <c r="G23" s="37" t="inlineStr">
        <is>
          <t>kN</t>
        </is>
      </c>
      <c r="H23" s="19" t="inlineStr"/>
      <c r="I23" s="39">
        <f>IF(OR(E23="",N(F23)=0),"",ABS(E23)/F23)</f>
        <v/>
      </c>
      <c r="J23" s="40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</row>
    <row r="26" ht="14" customHeight="1">
      <c r="B26" s="42" t="inlineStr">
        <is>
          <t>Section type</t>
        </is>
      </c>
      <c r="E26" s="2" t="inlineStr">
        <is>
          <t>UB</t>
        </is>
      </c>
      <c r="G26" s="43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</row>
    <row r="27" ht="14" customHeight="1">
      <c r="B27" s="42" t="inlineStr">
        <is>
          <t>Section size</t>
        </is>
      </c>
      <c r="E27" s="2" t="inlineStr">
        <is>
          <t>310UB40.4</t>
        </is>
      </c>
      <c r="G27" s="44" t="inlineStr">
        <is>
          <t>Mass</t>
        </is>
      </c>
      <c r="H27" s="41" cm="1">
        <f t="array" ref="H27">OAR.SECTION(SectionSize,"Mass",Grade)</f>
        <v/>
      </c>
      <c r="I27" s="45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</row>
    <row r="28" ht="14" customHeight="1">
      <c r="B28" s="42" t="inlineStr">
        <is>
          <t>Steel grade</t>
        </is>
      </c>
      <c r="E28" s="46" t="n">
        <v>300</v>
      </c>
      <c r="F28" s="45" t="inlineStr">
        <is>
          <t>MPa</t>
        </is>
      </c>
      <c r="G28" s="44" t="inlineStr">
        <is>
          <t>Ix</t>
        </is>
      </c>
      <c r="H28" s="41" cm="1">
        <f t="array" ref="H28">OAR.SECTION(SectionSize,"Ix",Grade)</f>
        <v/>
      </c>
      <c r="I28" s="45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</row>
    <row r="29" ht="14" customHeight="1">
      <c r="B29" s="42" t="inlineStr">
        <is>
          <t>Span (centre to centre of supports)</t>
        </is>
      </c>
      <c r="E29" s="47" t="n">
        <v>8300</v>
      </c>
      <c r="F29" s="45" t="inlineStr">
        <is>
          <t>mm</t>
        </is>
      </c>
      <c r="G29" s="44" t="inlineStr">
        <is>
          <t>Iy</t>
        </is>
      </c>
      <c r="H29" s="36" cm="1">
        <f t="array" ref="H29">OAR.SECTION(SectionSize,"Iy",Grade)</f>
        <v/>
      </c>
      <c r="I29" s="45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</row>
    <row r="30" ht="14" customHeight="1">
      <c r="B30" s="42" t="inlineStr">
        <is>
          <t>Support condition</t>
        </is>
      </c>
      <c r="E30" s="5" t="inlineStr">
        <is>
          <t>Simply supported</t>
        </is>
      </c>
      <c r="F30" s="48" t="n"/>
      <c r="G30" s="44" t="inlineStr">
        <is>
          <t>J</t>
        </is>
      </c>
      <c r="H30" s="41" cm="1">
        <f t="array" ref="H30">OAR.SECTION(SectionSize,"J",Grade)</f>
        <v/>
      </c>
      <c r="I30" s="45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</row>
    <row r="31" ht="14" customHeight="1">
      <c r="B31" s="42" t="inlineStr">
        <is>
          <t>Elastic modulus</t>
        </is>
      </c>
      <c r="E31" s="47" t="n">
        <v>200000</v>
      </c>
      <c r="F31" s="45" t="inlineStr">
        <is>
          <t>MPa</t>
        </is>
      </c>
      <c r="G31" s="44" t="inlineStr">
        <is>
          <t>Iw</t>
        </is>
      </c>
      <c r="H31" s="41" cm="1">
        <f t="array" ref="H31">OAR.SECTION(SectionSize,"Iw",Grade)</f>
        <v/>
      </c>
      <c r="I31" s="45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</row>
    <row r="32" ht="14" customHeight="1">
      <c r="B32" s="42" t="inlineStr">
        <is>
          <t>Include self-weight</t>
        </is>
      </c>
      <c r="E32" s="2" t="inlineStr">
        <is>
          <t>Yes</t>
        </is>
      </c>
      <c r="G32" s="44" t="inlineStr">
        <is>
          <t>Zex</t>
        </is>
      </c>
      <c r="H32" s="49" cm="1">
        <f t="array" ref="H32">OAR.SECTION(SectionSize,"Ze",Grade)</f>
        <v/>
      </c>
      <c r="I32" s="45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</row>
    <row r="33" ht="14" customHeight="1">
      <c r="G33" s="44" t="inlineStr">
        <is>
          <t>φMsx</t>
        </is>
      </c>
      <c r="H33" s="41" cm="1">
        <f t="array" ref="H33">OAR.SECTION(SectionSize,"phiMsx",Grade)</f>
        <v/>
      </c>
      <c r="I33" s="45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</row>
    <row r="36" ht="14" customHeight="1">
      <c r="B36" s="50" t="inlineStr">
        <is>
          <t>Case</t>
        </is>
      </c>
      <c r="C36" s="48" t="n"/>
      <c r="D36" s="50" t="inlineStr">
        <is>
          <t>Description</t>
        </is>
      </c>
      <c r="E36" s="50" t="inlineStr">
        <is>
          <t xml:space="preserve">Span / </t>
        </is>
      </c>
      <c r="F36" s="50" t="inlineStr">
        <is>
          <t>Max (mm)</t>
        </is>
      </c>
      <c r="G36" s="50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</row>
    <row r="37" ht="14" customHeight="1">
      <c r="B37" s="51" t="inlineStr">
        <is>
          <t>Δg</t>
        </is>
      </c>
      <c r="C37" s="52" t="n"/>
      <c r="D37" s="53" t="inlineStr">
        <is>
          <t>Dead load</t>
        </is>
      </c>
      <c r="E37" s="46" t="n">
        <v>500</v>
      </c>
      <c r="F37" s="54" t="n">
        <v>20</v>
      </c>
      <c r="G37" s="55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</row>
    <row r="38" ht="14" customHeight="1">
      <c r="B38" s="51" t="inlineStr">
        <is>
          <t>Δg+ψl·q</t>
        </is>
      </c>
      <c r="C38" s="52" t="n"/>
      <c r="D38" s="53" t="inlineStr">
        <is>
          <t>Long term (ψl)</t>
        </is>
      </c>
      <c r="E38" s="46" t="n">
        <v>360</v>
      </c>
      <c r="F38" s="54" t="n">
        <v>25</v>
      </c>
      <c r="G38" s="54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</row>
    <row r="39" ht="14" customHeight="1">
      <c r="B39" s="51" t="inlineStr">
        <is>
          <t>Δg+ψs·q</t>
        </is>
      </c>
      <c r="C39" s="52" t="n"/>
      <c r="D39" s="53" t="inlineStr">
        <is>
          <t>Short term (ψs)</t>
        </is>
      </c>
      <c r="E39" s="46" t="n">
        <v>300</v>
      </c>
      <c r="F39" s="54" t="n">
        <v>30</v>
      </c>
      <c r="G39" s="54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</row>
    <row r="40" ht="14" customHeight="1">
      <c r="B40" s="51" t="inlineStr">
        <is>
          <t>Δq</t>
        </is>
      </c>
      <c r="C40" s="52" t="n"/>
      <c r="D40" s="53" t="inlineStr">
        <is>
          <t>Live load only</t>
        </is>
      </c>
      <c r="E40" s="46" t="n">
        <v>250</v>
      </c>
      <c r="F40" s="54" t="n">
        <v>30</v>
      </c>
      <c r="G40" s="55" t="inlineStr">
        <is>
          <t>–</t>
        </is>
      </c>
      <c r="M40" s="56" t="n"/>
      <c r="N40" s="57" t="n"/>
      <c r="O40" s="57" t="n"/>
      <c r="P40" s="57" t="n"/>
      <c r="Q40" s="57" t="n"/>
      <c r="R40" s="57" t="n"/>
      <c r="S40" s="57" t="n"/>
      <c r="T40" s="58" t="n"/>
      <c r="AN40" s="20" t="inlineStr">
        <is>
          <t>610UB101</t>
        </is>
      </c>
    </row>
    <row r="41" ht="14" customHeight="1">
      <c r="B41" s="51" t="inlineStr">
        <is>
          <t>Δ1kN</t>
        </is>
      </c>
      <c r="C41" s="52" t="n"/>
      <c r="D41" s="53" t="inlineStr">
        <is>
          <t>1 kN point load at midspan</t>
        </is>
      </c>
      <c r="E41" s="46" t="n">
        <v>1000</v>
      </c>
      <c r="F41" s="54" t="n">
        <v>1.5</v>
      </c>
      <c r="G41" s="55" t="inlineStr">
        <is>
          <t>–</t>
        </is>
      </c>
      <c r="AN41" s="20" t="inlineStr">
        <is>
          <t>530UB92.4</t>
        </is>
      </c>
    </row>
    <row r="42" ht="14" customHeight="1">
      <c r="AN42" s="20" t="inlineStr">
        <is>
          <t>530UB82</t>
        </is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</row>
    <row r="46" ht="26" customHeight="1">
      <c r="B46" s="59" t="inlineStr">
        <is>
          <t>Case</t>
        </is>
      </c>
      <c r="C46" s="59" t="inlineStr">
        <is>
          <t>Type</t>
        </is>
      </c>
      <c r="D46" s="59" t="inlineStr">
        <is>
          <t>Description</t>
        </is>
      </c>
      <c r="E46" s="59" t="inlineStr">
        <is>
          <t>Trib (m | m²)</t>
        </is>
      </c>
      <c r="F46" s="59" t="inlineStr">
        <is>
          <t>Press. (kPa)</t>
        </is>
      </c>
      <c r="G46" s="59" t="inlineStr">
        <is>
          <t>+ Direct (kN/m | kN)</t>
        </is>
      </c>
      <c r="H46" s="59" t="inlineStr">
        <is>
          <t>Start (mm)</t>
        </is>
      </c>
      <c r="I46" s="59" t="inlineStr">
        <is>
          <t>End (mm)</t>
        </is>
      </c>
      <c r="J46" s="59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0" t="n">
        <v>5.65</v>
      </c>
      <c r="F47" s="30">
        <f>IFERROR(INDEX(LoadLib_B1[kPa],MATCH(D47,LoadLib_B1[Description],0)),"")</f>
        <v/>
      </c>
      <c r="G47" s="30" t="n"/>
      <c r="H47" s="47" t="n"/>
      <c r="I47" s="47" t="n"/>
      <c r="J47" s="61">
        <f>IF(B47="","",N(E47)*N(F47)+N(G47))</f>
        <v/>
      </c>
      <c r="M47" s="2" t="n"/>
      <c r="N47" s="62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0" t="n">
        <v>5.65</v>
      </c>
      <c r="F48" s="30">
        <f>IFERROR(INDEX(LoadLib_B1[kPa],MATCH(D48,LoadLib_B1[Description],0)),"")</f>
        <v/>
      </c>
      <c r="G48" s="30" t="n"/>
      <c r="H48" s="47" t="n"/>
      <c r="I48" s="47" t="n"/>
      <c r="J48" s="61">
        <f>IF(B48="","",N(E48)*N(F48)+N(G48))</f>
        <v/>
      </c>
      <c r="M48" s="2" t="n"/>
      <c r="N48" s="62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0" t="n"/>
      <c r="F49" s="30" t="n"/>
      <c r="G49" s="30" t="n">
        <v>0.05</v>
      </c>
      <c r="H49" s="47" t="n"/>
      <c r="I49" s="47" t="n"/>
      <c r="J49" s="61">
        <f>IF(B49="","",N(E49)*N(F49)+N(G49))</f>
        <v/>
      </c>
      <c r="M49" s="2" t="n"/>
      <c r="N49" s="62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0" t="n">
        <v>5.65</v>
      </c>
      <c r="F50" s="30">
        <f>IFERROR(INDEX(LoadLib_B1[kPa],MATCH(D50,LoadLib_B1[Description],0)),"")</f>
        <v/>
      </c>
      <c r="G50" s="30" t="n"/>
      <c r="H50" s="47" t="n"/>
      <c r="I50" s="47" t="n"/>
      <c r="J50" s="61">
        <f>IF(B50="","",N(E50)*N(F50)+N(G50))</f>
        <v/>
      </c>
      <c r="M50" s="2" t="n"/>
      <c r="N50" s="62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0" t="n">
        <v>5.65</v>
      </c>
      <c r="F51" s="30" t="n">
        <v>1.72</v>
      </c>
      <c r="G51" s="30" t="n"/>
      <c r="H51" s="47" t="n"/>
      <c r="I51" s="47" t="n"/>
      <c r="J51" s="61">
        <f>IF(B51="","",N(E51)*N(F51)+N(G51))</f>
        <v/>
      </c>
      <c r="M51" s="2" t="n"/>
      <c r="N51" s="62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0" t="n">
        <v>5.65</v>
      </c>
      <c r="F52" s="30" t="n">
        <v>0</v>
      </c>
      <c r="G52" s="30" t="n"/>
      <c r="H52" s="47" t="n"/>
      <c r="I52" s="47" t="n"/>
      <c r="J52" s="61">
        <f>IF(B52="","",N(E52)*N(F52)+N(G52))</f>
        <v/>
      </c>
      <c r="M52" s="2" t="n"/>
      <c r="N52" s="62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0" t="n">
        <v>5.65</v>
      </c>
      <c r="F53" s="30" t="n">
        <v>0</v>
      </c>
      <c r="G53" s="30" t="n"/>
      <c r="H53" s="47" t="n"/>
      <c r="I53" s="47" t="n"/>
      <c r="J53" s="61">
        <f>IF(B53="","",N(E53)*N(F53)+N(G53))</f>
        <v/>
      </c>
      <c r="M53" s="2" t="n"/>
      <c r="N53" s="62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0" t="n">
        <v>5.65</v>
      </c>
      <c r="F54" s="30" t="n">
        <v>0</v>
      </c>
      <c r="G54" s="30" t="n"/>
      <c r="H54" s="47" t="n"/>
      <c r="I54" s="47" t="n"/>
      <c r="J54" s="61">
        <f>IF(B54="","",N(E54)*N(F54)+N(G54))</f>
        <v/>
      </c>
      <c r="M54" s="2" t="n"/>
      <c r="N54" s="62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0" t="n">
        <v>1.5</v>
      </c>
      <c r="F55" s="30" t="n">
        <v>0.5</v>
      </c>
      <c r="G55" s="30" t="n">
        <v>2</v>
      </c>
      <c r="H55" s="47" t="n">
        <v>4150</v>
      </c>
      <c r="I55" s="47" t="n"/>
      <c r="J55" s="61">
        <f>IF(B55="","",N(E55)*N(F55)+N(G55))</f>
        <v/>
      </c>
      <c r="AN55" s="20" t="inlineStr">
        <is>
          <t>250UB31.4</t>
        </is>
      </c>
    </row>
    <row r="56" ht="14" customHeight="1">
      <c r="B56" s="2" t="n"/>
      <c r="C56" s="2" t="n"/>
      <c r="D56" s="5" t="n"/>
      <c r="E56" s="60" t="n"/>
      <c r="F56" s="30" t="n"/>
      <c r="G56" s="30" t="n"/>
      <c r="H56" s="47" t="n"/>
      <c r="I56" s="47" t="n"/>
      <c r="J56" s="61">
        <f>IF(B56="","",N(E56)*N(F56)+N(G56))</f>
        <v/>
      </c>
      <c r="R56" s="1" t="inlineStr">
        <is>
          <t>Active uplift (bottom flange) combinations:</t>
        </is>
      </c>
      <c r="S56" s="49">
        <f>COUNTIFS(CombLib_B1[Active],1,CombLib_B1[Crit. flange],"Bottom")</f>
        <v/>
      </c>
      <c r="AN56" s="20" t="inlineStr">
        <is>
          <t>250UB25.7</t>
        </is>
      </c>
    </row>
    <row r="57" ht="14" customHeight="1">
      <c r="B57" s="2" t="n"/>
      <c r="C57" s="2" t="n"/>
      <c r="D57" s="5" t="n"/>
      <c r="E57" s="60" t="n"/>
      <c r="F57" s="30" t="n"/>
      <c r="G57" s="30" t="n"/>
      <c r="H57" s="47" t="n"/>
      <c r="I57" s="47" t="n"/>
      <c r="J57" s="61">
        <f>IF(B57="","",N(E57)*N(F57)+N(G57))</f>
        <v/>
      </c>
      <c r="AN57" s="20" t="inlineStr">
        <is>
          <t>200UB29.8</t>
        </is>
      </c>
    </row>
    <row r="58" ht="14" customHeight="1">
      <c r="AN58" s="20" t="inlineStr">
        <is>
          <t>200UB25.4</t>
        </is>
      </c>
    </row>
    <row r="59" ht="14" customHeight="1">
      <c r="E59" s="50" t="inlineStr">
        <is>
          <t>G</t>
        </is>
      </c>
      <c r="F59" s="50" t="inlineStr">
        <is>
          <t>Q</t>
        </is>
      </c>
      <c r="G59" s="50" t="inlineStr">
        <is>
          <t>Wd</t>
        </is>
      </c>
      <c r="H59" s="50" t="inlineStr">
        <is>
          <t>Wu</t>
        </is>
      </c>
      <c r="I59" s="50" t="inlineStr">
        <is>
          <t>Wid</t>
        </is>
      </c>
      <c r="J59" s="50" t="inlineStr">
        <is>
          <t>Wiu</t>
        </is>
      </c>
      <c r="AN59" s="20" t="inlineStr">
        <is>
          <t>200UB22.3</t>
        </is>
      </c>
    </row>
    <row r="60" ht="14" customHeight="1">
      <c r="B60" s="43" t="inlineStr">
        <is>
          <t>Full-span UDL totals (excl. self-weight):</t>
        </is>
      </c>
      <c r="E60" s="61">
        <f>SUMIFS(Loads_B1[Load],Loads_B1[Case],"G",Loads_B1[Type],"UDL")</f>
        <v/>
      </c>
      <c r="F60" s="61">
        <f>SUMIFS(Loads_B1[Load],Loads_B1[Case],"Q",Loads_B1[Type],"UDL")</f>
        <v/>
      </c>
      <c r="G60" s="61">
        <f>SUMIFS(Loads_B1[Load],Loads_B1[Case],"Wd",Loads_B1[Type],"UDL")</f>
        <v/>
      </c>
      <c r="H60" s="61">
        <f>SUMIFS(Loads_B1[Load],Loads_B1[Case],"Wu",Loads_B1[Type],"UDL")</f>
        <v/>
      </c>
      <c r="I60" s="61">
        <f>SUMIFS(Loads_B1[Load],Loads_B1[Case],"Wid",Loads_B1[Type],"UDL")</f>
        <v/>
      </c>
      <c r="J60" s="61">
        <f>SUMIFS(Loads_B1[Load],Loads_B1[Case],"Wiu",Loads_B1[Type],"UDL")</f>
        <v/>
      </c>
      <c r="AN60" s="20" t="inlineStr">
        <is>
          <t>200UB18.2</t>
        </is>
      </c>
    </row>
    <row r="61" ht="14" customHeight="1">
      <c r="AN61" s="20" t="inlineStr">
        <is>
          <t>180UB22.2</t>
        </is>
      </c>
    </row>
    <row r="62" ht="14" customHeight="1">
      <c r="B62" s="63" t="inlineStr">
        <is>
          <t>Applied loads (unfactored; line loads kN/m, point loads kN with stems; + = downward;  x in m)</t>
        </is>
      </c>
      <c r="AN62" s="20" t="inlineStr">
        <is>
          <t>180UB18.1</t>
        </is>
      </c>
    </row>
    <row r="63" ht="14" customHeight="1">
      <c r="AN63" s="20" t="inlineStr">
        <is>
          <t>180UB16.1</t>
        </is>
      </c>
    </row>
    <row r="64" ht="14" customHeight="1">
      <c r="AN64" s="20" t="inlineStr">
        <is>
          <t>150UB18</t>
        </is>
      </c>
    </row>
    <row r="65" ht="14" customHeight="1">
      <c r="AN65" s="20" t="inlineStr">
        <is>
          <t>150UB14</t>
        </is>
      </c>
    </row>
    <row r="66" ht="14" customHeight="1">
      <c r="AN66" s="20" t="inlineStr">
        <is>
          <t>380PFC</t>
        </is>
      </c>
    </row>
    <row r="67" ht="14" customHeight="1">
      <c r="AN67" s="20" t="inlineStr">
        <is>
          <t>300PFC</t>
        </is>
      </c>
    </row>
    <row r="68" ht="14" customHeight="1">
      <c r="AN68" s="20" t="inlineStr">
        <is>
          <t>250PFC</t>
        </is>
      </c>
    </row>
    <row r="69" ht="14" customHeight="1">
      <c r="AN69" s="20" t="inlineStr">
        <is>
          <t>230PFC</t>
        </is>
      </c>
    </row>
    <row r="70" ht="14" customHeight="1">
      <c r="AN70" s="20" t="inlineStr">
        <is>
          <t>200PFC</t>
        </is>
      </c>
    </row>
    <row r="71" ht="14" customHeight="1">
      <c r="AN71" s="20" t="inlineStr">
        <is>
          <t>180PFC</t>
        </is>
      </c>
    </row>
    <row r="72" ht="14" customHeight="1">
      <c r="AN72" s="20" t="inlineStr">
        <is>
          <t>150PFC</t>
        </is>
      </c>
    </row>
    <row r="73" ht="14" customHeight="1">
      <c r="AN73" s="20" t="inlineStr">
        <is>
          <t>125PFC</t>
        </is>
      </c>
    </row>
    <row r="74" ht="14" customHeight="1">
      <c r="AN74" s="20" t="inlineStr">
        <is>
          <t>100PFC</t>
        </is>
      </c>
    </row>
    <row r="75" ht="20" customHeight="1">
      <c r="B75" s="10" t="inlineStr">
        <is>
          <t>Load Combinations (AS/NZS 1170.0)</t>
        </is>
      </c>
      <c r="C75" s="11" t="n"/>
      <c r="D75" s="11" t="n"/>
      <c r="E75" s="11" t="n"/>
      <c r="F75" s="11" t="n"/>
      <c r="G75" s="11" t="n"/>
      <c r="H75" s="11" t="n"/>
      <c r="I75" s="11" t="n"/>
      <c r="J75" s="11" t="n"/>
      <c r="AN75" s="20" t="inlineStr">
        <is>
          <t>75PFC</t>
        </is>
      </c>
    </row>
    <row r="76" ht="14" customHeight="1">
      <c r="B76" s="42" t="inlineStr">
        <is>
          <t>Combination set</t>
        </is>
      </c>
      <c r="E76" s="2" t="inlineStr">
        <is>
          <t>Roof</t>
        </is>
      </c>
      <c r="F76" s="44" t="inlineStr">
        <is>
          <t>ψc</t>
        </is>
      </c>
      <c r="G76" s="54" t="n">
        <v>0.4</v>
      </c>
      <c r="H76" s="6" t="inlineStr">
        <is>
          <t>Table 4.1 (roofs 0.0)</t>
        </is>
      </c>
      <c r="AN76" s="20" t="inlineStr">
        <is>
          <t>310UC158</t>
        </is>
      </c>
    </row>
    <row r="77" ht="14" customHeight="1">
      <c r="B77" s="15" t="inlineStr">
        <is>
          <t>Floor = gravity only.  Roof = gravity + wind.  All = every library row.  Custom = only rows set to Yes / Custom.  Edit in the library to the right →</t>
        </is>
      </c>
      <c r="AN77" s="20" t="inlineStr">
        <is>
          <t>310UC137</t>
        </is>
      </c>
    </row>
    <row r="78" ht="14" customHeight="1">
      <c r="B78" s="25" t="inlineStr">
        <is>
          <t>ID</t>
        </is>
      </c>
      <c r="C78" s="25" t="inlineStr">
        <is>
          <t>Crit. flange</t>
        </is>
      </c>
      <c r="D78" s="25" t="inlineStr">
        <is>
          <t>Combination</t>
        </is>
      </c>
      <c r="E78" s="25" t="inlineStr">
        <is>
          <t>G</t>
        </is>
      </c>
      <c r="F78" s="25" t="inlineStr">
        <is>
          <t>Q</t>
        </is>
      </c>
      <c r="G78" s="25" t="inlineStr">
        <is>
          <t>Wd</t>
        </is>
      </c>
      <c r="H78" s="25" t="inlineStr">
        <is>
          <t>Wu</t>
        </is>
      </c>
      <c r="I78" s="25" t="inlineStr">
        <is>
          <t>Wid</t>
        </is>
      </c>
      <c r="J78" s="25" t="inlineStr">
        <is>
          <t>Wiu</t>
        </is>
      </c>
      <c r="AN78" s="20" t="inlineStr">
        <is>
          <t>310UC118</t>
        </is>
      </c>
    </row>
    <row r="79" ht="14" customHeight="1">
      <c r="B79" s="34" cm="1">
        <f t="array" ref="B79">_xlfn._xlws.FILTER(CombLib_B1[[ID]:[Wiu]],CombLib_B1[Active]=1,"No combinations selected")</f>
        <v/>
      </c>
      <c r="C79" s="34" t="n"/>
      <c r="D79" s="42" t="n"/>
      <c r="E79" s="64" t="n"/>
      <c r="F79" s="64" t="n"/>
      <c r="G79" s="64" t="n"/>
      <c r="H79" s="64" t="n"/>
      <c r="I79" s="64" t="n"/>
      <c r="J79" s="64" t="n"/>
      <c r="AN79" s="20" t="inlineStr">
        <is>
          <t>310UC97</t>
        </is>
      </c>
    </row>
    <row r="80" ht="14" customHeight="1">
      <c r="B80" s="34" t="n"/>
      <c r="C80" s="34" t="n"/>
      <c r="D80" s="42" t="n"/>
      <c r="E80" s="64" t="n"/>
      <c r="F80" s="64" t="n"/>
      <c r="G80" s="64" t="n"/>
      <c r="H80" s="64" t="n"/>
      <c r="I80" s="64" t="n"/>
      <c r="J80" s="64" t="n"/>
      <c r="AN80" s="20" t="inlineStr">
        <is>
          <t>250UC89.5</t>
        </is>
      </c>
    </row>
    <row r="81" ht="14" customHeight="1">
      <c r="B81" s="34" t="n"/>
      <c r="C81" s="34" t="n"/>
      <c r="D81" s="42" t="n"/>
      <c r="E81" s="64" t="n"/>
      <c r="F81" s="64" t="n"/>
      <c r="G81" s="64" t="n"/>
      <c r="H81" s="64" t="n"/>
      <c r="I81" s="64" t="n"/>
      <c r="J81" s="64" t="n"/>
      <c r="AN81" s="20" t="inlineStr">
        <is>
          <t>250UC73</t>
        </is>
      </c>
    </row>
    <row r="82" ht="14" customHeight="1">
      <c r="B82" s="34" t="n"/>
      <c r="C82" s="34" t="n"/>
      <c r="D82" s="42" t="n"/>
      <c r="E82" s="64" t="n"/>
      <c r="F82" s="64" t="n"/>
      <c r="G82" s="64" t="n"/>
      <c r="H82" s="64" t="n"/>
      <c r="I82" s="64" t="n"/>
      <c r="J82" s="64" t="n"/>
      <c r="AN82" s="20" t="inlineStr">
        <is>
          <t>200UC59.5</t>
        </is>
      </c>
    </row>
    <row r="83" ht="14" customHeight="1">
      <c r="B83" s="34" t="n"/>
      <c r="C83" s="34" t="n"/>
      <c r="D83" s="42" t="n"/>
      <c r="E83" s="64" t="n"/>
      <c r="F83" s="64" t="n"/>
      <c r="G83" s="64" t="n"/>
      <c r="H83" s="64" t="n"/>
      <c r="I83" s="64" t="n"/>
      <c r="J83" s="64" t="n"/>
      <c r="AN83" s="20" t="inlineStr">
        <is>
          <t>200UC52</t>
        </is>
      </c>
    </row>
    <row r="84" ht="14" customHeight="1">
      <c r="B84" s="34" t="n"/>
      <c r="C84" s="34" t="n"/>
      <c r="D84" s="42" t="n"/>
      <c r="E84" s="64" t="n"/>
      <c r="F84" s="64" t="n"/>
      <c r="G84" s="64" t="n"/>
      <c r="H84" s="64" t="n"/>
      <c r="I84" s="64" t="n"/>
      <c r="J84" s="64" t="n"/>
      <c r="AN84" s="20" t="inlineStr">
        <is>
          <t>200UC46</t>
        </is>
      </c>
    </row>
    <row r="85" ht="14" customHeight="1">
      <c r="B85" s="34" t="n"/>
      <c r="C85" s="34" t="n"/>
      <c r="D85" s="42" t="n"/>
      <c r="E85" s="64" t="n"/>
      <c r="F85" s="64" t="n"/>
      <c r="G85" s="64" t="n"/>
      <c r="H85" s="64" t="n"/>
      <c r="I85" s="64" t="n"/>
      <c r="J85" s="64" t="n"/>
      <c r="AN85" s="20" t="inlineStr">
        <is>
          <t>150UC37</t>
        </is>
      </c>
    </row>
    <row r="86" ht="14" customHeight="1">
      <c r="B86" s="34" t="n"/>
      <c r="C86" s="34" t="n"/>
      <c r="D86" s="42" t="n"/>
      <c r="E86" s="64" t="n"/>
      <c r="F86" s="64" t="n"/>
      <c r="G86" s="64" t="n"/>
      <c r="H86" s="64" t="n"/>
      <c r="I86" s="64" t="n"/>
      <c r="J86" s="64" t="n"/>
      <c r="AN86" s="20" t="inlineStr">
        <is>
          <t>150UC30</t>
        </is>
      </c>
    </row>
    <row r="87" ht="20" customHeight="1">
      <c r="B87" s="10" t="inlineStr">
        <is>
          <t>Lateral Restraints (AS 4100 Cl. 5.4)</t>
        </is>
      </c>
      <c r="C87" s="11" t="n"/>
      <c r="D87" s="11" t="n"/>
      <c r="E87" s="11" t="n"/>
      <c r="F87" s="11" t="n"/>
      <c r="G87" s="11" t="n"/>
      <c r="H87" s="11" t="n"/>
      <c r="I87" s="11" t="n"/>
      <c r="J87" s="11" t="n"/>
      <c r="AN87" s="20" t="inlineStr">
        <is>
          <t>150UC23</t>
        </is>
      </c>
    </row>
    <row r="88" ht="14" customHeight="1">
      <c r="B88" s="15" t="inlineStr">
        <is>
          <t>Restraint type at each cross-section for the critical flange: F, P, L or U (– = none). Supports must be F or P.</t>
        </is>
      </c>
      <c r="AN88" s="20" t="inlineStr">
        <is>
          <t>100UC15</t>
        </is>
      </c>
    </row>
    <row r="89" ht="14" customHeight="1">
      <c r="B89" s="25" t="inlineStr">
        <is>
          <t>x (mm)</t>
        </is>
      </c>
      <c r="C89" s="25" t="inlineStr">
        <is>
          <t>Ref</t>
        </is>
      </c>
      <c r="D89" s="25" t="inlineStr">
        <is>
          <t>Restraint provided by</t>
        </is>
      </c>
      <c r="E89" s="25" t="inlineStr">
        <is>
          <t>Top flange</t>
        </is>
      </c>
      <c r="F89" s="25" t="inlineStr">
        <is>
          <t>Bottom fl.</t>
        </is>
      </c>
      <c r="G89" s="25" t="inlineStr">
        <is>
          <t>αm override</t>
        </is>
      </c>
      <c r="H89" s="25" t="inlineStr">
        <is>
          <t>Factor</t>
        </is>
      </c>
      <c r="I89" s="25" t="inlineStr">
        <is>
          <t>Top</t>
        </is>
      </c>
      <c r="J89" s="25" t="inlineStr">
        <is>
          <t>Bottom</t>
        </is>
      </c>
      <c r="Z89" s="15" t="inlineStr">
        <is>
          <t>Applied line loads (OAR.LOADDIAGRAM)</t>
        </is>
      </c>
      <c r="AH89" s="15" t="inlineStr">
        <is>
          <t>Point loads</t>
        </is>
      </c>
    </row>
    <row r="90" ht="14" customHeight="1">
      <c r="B90" s="65">
        <f>0</f>
        <v/>
      </c>
      <c r="C90" s="2" t="inlineStr">
        <is>
          <t>A</t>
        </is>
      </c>
      <c r="D90" s="5" t="inlineStr">
        <is>
          <t>Left support – cleat</t>
        </is>
      </c>
      <c r="E90" s="2" t="inlineStr">
        <is>
          <t>F</t>
        </is>
      </c>
      <c r="F90" s="2" t="inlineStr">
        <is>
          <t>F</t>
        </is>
      </c>
      <c r="G90" s="30" t="n"/>
      <c r="H90" s="34" t="inlineStr">
        <is>
          <t>kl</t>
        </is>
      </c>
      <c r="I90" s="30" t="n">
        <v>1.4</v>
      </c>
      <c r="J90" s="30" t="n">
        <v>1</v>
      </c>
      <c r="Z90" s="19" cm="1">
        <f t="array" ref="Z90">OAR.LOADDIAGRAM(SectionSize,Span,IncludeSW,Loads_B1[[Case]:[End (mm)]],"line")</f>
        <v/>
      </c>
      <c r="AH90" s="19" cm="1">
        <f t="array" ref="AH90">OAR.LOADDIAGRAM(SectionSize,Span,IncludeSW,Loads_B1[[Case]:[End (mm)]],"point")</f>
        <v/>
      </c>
    </row>
    <row r="91" ht="14" customHeight="1">
      <c r="B91" s="47" t="n">
        <v>2767</v>
      </c>
      <c r="C91" s="2" t="inlineStr"/>
      <c r="D91" s="5" t="inlineStr">
        <is>
          <t>Purlin + fly brace</t>
        </is>
      </c>
      <c r="E91" s="2" t="inlineStr">
        <is>
          <t>L</t>
        </is>
      </c>
      <c r="F91" s="2" t="inlineStr">
        <is>
          <t>F</t>
        </is>
      </c>
      <c r="G91" s="30" t="n"/>
      <c r="H91" s="34" t="inlineStr">
        <is>
          <t>kr</t>
        </is>
      </c>
      <c r="I91" s="30" t="n">
        <v>1</v>
      </c>
      <c r="J91" s="30" t="n">
        <v>1</v>
      </c>
    </row>
    <row r="92" ht="14" customHeight="1">
      <c r="B92" s="47" t="n">
        <v>5533</v>
      </c>
      <c r="C92" s="2" t="inlineStr"/>
      <c r="D92" s="5" t="inlineStr">
        <is>
          <t>Purlin + fly brace</t>
        </is>
      </c>
      <c r="E92" s="2" t="inlineStr">
        <is>
          <t>L</t>
        </is>
      </c>
      <c r="F92" s="2" t="inlineStr">
        <is>
          <t>F</t>
        </is>
      </c>
      <c r="G92" s="30" t="n"/>
      <c r="H92" s="15" t="inlineStr">
        <is>
          <t>kt from restraint</t>
        </is>
      </c>
    </row>
    <row r="93" ht="14" customHeight="1">
      <c r="B93" s="65">
        <f>Span</f>
        <v/>
      </c>
      <c r="C93" s="2" t="inlineStr">
        <is>
          <t>B</t>
        </is>
      </c>
      <c r="D93" s="5" t="inlineStr">
        <is>
          <t>Right support – cleat</t>
        </is>
      </c>
      <c r="E93" s="2" t="inlineStr">
        <is>
          <t>F</t>
        </is>
      </c>
      <c r="F93" s="2" t="inlineStr">
        <is>
          <t>F</t>
        </is>
      </c>
      <c r="G93" s="30" t="n"/>
      <c r="H93" s="15" t="inlineStr">
        <is>
          <t>types (add-in)</t>
        </is>
      </c>
    </row>
    <row r="94" ht="14" customHeight="1">
      <c r="B94" s="47" t="n"/>
      <c r="C94" s="2" t="n"/>
      <c r="D94" s="5" t="n"/>
      <c r="E94" s="2" t="n"/>
      <c r="F94" s="2" t="n"/>
      <c r="G94" s="30" t="n"/>
    </row>
    <row r="95" ht="14" customHeight="1">
      <c r="B95" s="15" t="inlineStr">
        <is>
          <t>αm override applies to the segment starting at that row (blank = Cl. 5.6.1.1(a)(iii)); flagged * in the output.</t>
        </is>
      </c>
    </row>
    <row r="96" ht="14" customHeight="1"/>
    <row r="97" ht="20" customHeight="1">
      <c r="B97" s="10" t="inlineStr">
        <is>
          <t>Serviceability Checks</t>
        </is>
      </c>
      <c r="C97" s="11" t="n"/>
      <c r="D97" s="11" t="n"/>
      <c r="E97" s="11" t="n"/>
      <c r="F97" s="11" t="n"/>
      <c r="G97" s="11" t="n"/>
      <c r="H97" s="11" t="n"/>
      <c r="I97" s="11" t="n"/>
      <c r="J97" s="11" t="n"/>
    </row>
    <row r="98" ht="14" customHeight="1">
      <c r="B98" s="59" t="inlineStr">
        <is>
          <t>Case</t>
        </is>
      </c>
      <c r="C98" s="59" t="inlineStr">
        <is>
          <t>Δ max (mm)</t>
        </is>
      </c>
      <c r="D98" s="59" t="inlineStr">
        <is>
          <t>at x (mm)</t>
        </is>
      </c>
      <c r="E98" s="59" t="inlineStr">
        <is>
          <t>Limit (mm)</t>
        </is>
      </c>
      <c r="F98" s="59" t="inlineStr">
        <is>
          <t>L / Δ</t>
        </is>
      </c>
      <c r="G98" s="59" t="inlineStr">
        <is>
          <t>Utilisation</t>
        </is>
      </c>
    </row>
    <row r="99" ht="14" customHeight="1">
      <c r="B99" s="34" cm="1">
        <f t="array" ref="B99">OAR.SLS(SectionSize,Span,E_mod,IncludeSW,Loads_B1[[Case]:[End (mm)]],$E$37:$F$41,PsiL,PsiS)</f>
        <v/>
      </c>
      <c r="C99" s="64" t="n"/>
      <c r="D99" s="66" t="n"/>
      <c r="E99" s="64" t="n"/>
      <c r="F99" s="67" t="n"/>
      <c r="G99" s="68" t="n"/>
      <c r="H99" s="6" t="inlineStr">
        <is>
          <t>Δ1kN: 1 kN at midspan,</t>
        </is>
      </c>
    </row>
    <row r="100" ht="14" customHeight="1">
      <c r="B100" s="34" t="n"/>
      <c r="C100" s="64" t="n"/>
      <c r="D100" s="66" t="n"/>
      <c r="E100" s="64" t="n"/>
      <c r="F100" s="67" t="n"/>
      <c r="G100" s="68" t="n"/>
      <c r="H100" s="6" t="inlineStr">
        <is>
          <t>beam alone</t>
        </is>
      </c>
    </row>
    <row r="101" ht="14" customHeight="1">
      <c r="B101" s="34" t="n"/>
      <c r="C101" s="64" t="n"/>
      <c r="D101" s="66" t="n"/>
      <c r="E101" s="64" t="n"/>
      <c r="F101" s="67" t="n"/>
      <c r="G101" s="68" t="n"/>
    </row>
    <row r="102" ht="14" customHeight="1">
      <c r="B102" s="34" t="n"/>
      <c r="C102" s="64" t="n"/>
      <c r="D102" s="66" t="n"/>
      <c r="E102" s="64" t="n"/>
      <c r="F102" s="67" t="n"/>
      <c r="G102" s="68" t="n"/>
    </row>
    <row r="103" ht="14" customHeight="1">
      <c r="B103" s="34" t="n"/>
      <c r="C103" s="64" t="n"/>
      <c r="D103" s="66" t="n"/>
      <c r="E103" s="64" t="n"/>
      <c r="F103" s="67" t="n"/>
      <c r="G103" s="68" t="n"/>
    </row>
    <row r="104" ht="14" customHeight="1"/>
    <row r="105" ht="14" customHeight="1">
      <c r="B105" s="63" t="inlineStr">
        <is>
          <t>Deflected shapes (mm, plotted downward;  x in m)</t>
        </is>
      </c>
    </row>
    <row r="106" ht="14" customHeight="1"/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20" customHeight="1">
      <c r="B118" s="10" t="inlineStr">
        <is>
          <t>ULS Strength Checks – Bending (AS 4100 Cl. 5.6)</t>
        </is>
      </c>
      <c r="C118" s="11" t="n"/>
      <c r="D118" s="11" t="n"/>
      <c r="E118" s="11" t="n"/>
      <c r="F118" s="11" t="n"/>
      <c r="G118" s="11" t="n"/>
      <c r="H118" s="11" t="n"/>
      <c r="I118" s="11" t="n"/>
      <c r="J118" s="11" t="n"/>
    </row>
    <row r="119" ht="14" customHeight="1">
      <c r="B119" s="63" t="inlineStr">
        <is>
          <t>Bending moment envelope, all active combinations (kN·m, sagging plotted down;  x in m)</t>
        </is>
      </c>
    </row>
    <row r="120" ht="14" customHeight="1"/>
    <row r="121" ht="14" customHeight="1"/>
    <row r="122" ht="14" customHeight="1"/>
    <row r="123" ht="14" customHeight="1"/>
    <row r="124" ht="14" customHeight="1"/>
    <row r="125" ht="14" customHeight="1"/>
    <row r="126" ht="14" customHeight="1"/>
    <row r="127" ht="14" customHeight="1"/>
    <row r="128" ht="14" customHeight="1"/>
    <row r="129" ht="14" customHeight="1"/>
    <row r="130" ht="14" customHeight="1"/>
    <row r="131" ht="14" customHeight="1"/>
    <row r="132" ht="16" customHeight="1">
      <c r="B132" s="59" t="inlineStr">
        <is>
          <t>Combo</t>
        </is>
      </c>
      <c r="C132" s="59" t="inlineStr">
        <is>
          <t>Segment (m)</t>
        </is>
      </c>
      <c r="D132" s="59" t="inlineStr">
        <is>
          <t>Ends</t>
        </is>
      </c>
      <c r="E132" s="59" t="inlineStr">
        <is>
          <t>Le (m)</t>
        </is>
      </c>
      <c r="F132" s="59" t="inlineStr">
        <is>
          <t>αm</t>
        </is>
      </c>
      <c r="G132" s="59" t="inlineStr">
        <is>
          <t>αs</t>
        </is>
      </c>
      <c r="H132" s="59" t="inlineStr">
        <is>
          <t>φMb (kN·m)</t>
        </is>
      </c>
      <c r="I132" s="59" t="inlineStr">
        <is>
          <t>M* (kN·m)</t>
        </is>
      </c>
      <c r="J132" s="59" t="inlineStr">
        <is>
          <t>Utilisation</t>
        </is>
      </c>
    </row>
    <row r="133" ht="14" customHeight="1">
      <c r="B133" s="34" cm="1">
        <f t="array" ref="B133">OAR.ULS(SectionSize,Grade,Span,E_mod,IncludeSW,Loads_B1[[Case]:[End (mm)]],_xlfn.ANCHORARRAY(B79),Restraints_B1[#Data],$I$90:$J$91)</f>
        <v/>
      </c>
      <c r="C133" s="34" t="n"/>
      <c r="D133" s="34" t="n"/>
      <c r="E133" s="64" t="n"/>
      <c r="F133" s="69" t="n"/>
      <c r="G133" s="69" t="n"/>
      <c r="H133" s="70" t="n"/>
      <c r="I133" s="70" t="n"/>
      <c r="J133" s="68" t="n"/>
    </row>
    <row r="134" ht="14" customHeight="1">
      <c r="B134" s="34" t="n"/>
      <c r="C134" s="34" t="n"/>
      <c r="D134" s="34" t="n"/>
      <c r="E134" s="64" t="n"/>
      <c r="F134" s="69" t="n"/>
      <c r="G134" s="69" t="n"/>
      <c r="H134" s="70" t="n"/>
      <c r="I134" s="70" t="n"/>
      <c r="J134" s="68" t="n"/>
    </row>
    <row r="135" ht="14" customHeight="1">
      <c r="B135" s="34" t="n"/>
      <c r="C135" s="34" t="n"/>
      <c r="D135" s="34" t="n"/>
      <c r="E135" s="64" t="n"/>
      <c r="F135" s="69" t="n"/>
      <c r="G135" s="69" t="n"/>
      <c r="H135" s="70" t="n"/>
      <c r="I135" s="70" t="n"/>
      <c r="J135" s="68" t="n"/>
    </row>
    <row r="136" ht="14" customHeight="1">
      <c r="B136" s="34" t="n"/>
      <c r="C136" s="34" t="n"/>
      <c r="D136" s="34" t="n"/>
      <c r="E136" s="64" t="n"/>
      <c r="F136" s="69" t="n"/>
      <c r="G136" s="69" t="n"/>
      <c r="H136" s="70" t="n"/>
      <c r="I136" s="70" t="n"/>
      <c r="J136" s="68" t="n"/>
    </row>
    <row r="137" ht="14" customHeight="1">
      <c r="B137" s="34" t="n"/>
      <c r="C137" s="34" t="n"/>
      <c r="D137" s="34" t="n"/>
      <c r="E137" s="64" t="n"/>
      <c r="F137" s="69" t="n"/>
      <c r="G137" s="69" t="n"/>
      <c r="H137" s="70" t="n"/>
      <c r="I137" s="70" t="n"/>
      <c r="J137" s="68" t="n"/>
    </row>
    <row r="138" ht="14" customHeight="1">
      <c r="B138" s="34" t="n"/>
      <c r="C138" s="34" t="n"/>
      <c r="D138" s="34" t="n"/>
      <c r="E138" s="64" t="n"/>
      <c r="F138" s="69" t="n"/>
      <c r="G138" s="69" t="n"/>
      <c r="H138" s="70" t="n"/>
      <c r="I138" s="70" t="n"/>
      <c r="J138" s="68" t="n"/>
    </row>
    <row r="139" ht="14" customHeight="1">
      <c r="B139" s="34" t="n"/>
      <c r="C139" s="34" t="n"/>
      <c r="D139" s="34" t="n"/>
      <c r="E139" s="64" t="n"/>
      <c r="F139" s="69" t="n"/>
      <c r="G139" s="69" t="n"/>
      <c r="H139" s="70" t="n"/>
      <c r="I139" s="70" t="n"/>
      <c r="J139" s="68" t="n"/>
    </row>
    <row r="140">
      <c r="B140" s="34" t="n"/>
      <c r="C140" s="34" t="n"/>
      <c r="D140" s="34" t="n"/>
      <c r="E140" s="64" t="n"/>
      <c r="F140" s="69" t="n"/>
      <c r="G140" s="69" t="n"/>
      <c r="H140" s="70" t="n"/>
      <c r="I140" s="70" t="n"/>
      <c r="J140" s="68" t="n"/>
    </row>
    <row r="141">
      <c r="B141" s="34" t="n"/>
      <c r="C141" s="34" t="n"/>
      <c r="D141" s="34" t="n"/>
      <c r="E141" s="64" t="n"/>
      <c r="F141" s="69" t="n"/>
      <c r="G141" s="69" t="n"/>
      <c r="H141" s="70" t="n"/>
      <c r="I141" s="70" t="n"/>
      <c r="J141" s="68" t="n"/>
    </row>
    <row r="142">
      <c r="B142" s="34" t="n"/>
      <c r="C142" s="34" t="n"/>
      <c r="D142" s="34" t="n"/>
      <c r="E142" s="64" t="n"/>
      <c r="F142" s="69" t="n"/>
      <c r="G142" s="69" t="n"/>
      <c r="H142" s="70" t="n"/>
      <c r="I142" s="70" t="n"/>
      <c r="J142" s="68" t="n"/>
    </row>
    <row r="143">
      <c r="B143" s="34" t="n"/>
      <c r="C143" s="34" t="n"/>
      <c r="D143" s="34" t="n"/>
      <c r="E143" s="64" t="n"/>
      <c r="F143" s="69" t="n"/>
      <c r="G143" s="69" t="n"/>
      <c r="H143" s="70" t="n"/>
      <c r="I143" s="70" t="n"/>
      <c r="J143" s="68" t="n"/>
    </row>
    <row r="144">
      <c r="B144" s="34" t="n"/>
      <c r="C144" s="34" t="n"/>
      <c r="D144" s="34" t="n"/>
      <c r="E144" s="64" t="n"/>
      <c r="F144" s="69" t="n"/>
      <c r="G144" s="69" t="n"/>
      <c r="H144" s="70" t="n"/>
      <c r="I144" s="70" t="n"/>
      <c r="J144" s="68" t="n"/>
    </row>
    <row r="145">
      <c r="B145" s="34" t="n"/>
      <c r="C145" s="34" t="n"/>
      <c r="D145" s="34" t="n"/>
      <c r="E145" s="64" t="n"/>
      <c r="F145" s="69" t="n"/>
      <c r="G145" s="69" t="n"/>
      <c r="H145" s="70" t="n"/>
      <c r="I145" s="70" t="n"/>
      <c r="J145" s="68" t="n"/>
    </row>
    <row r="146">
      <c r="B146" s="34" t="n"/>
      <c r="C146" s="34" t="n"/>
      <c r="D146" s="34" t="n"/>
      <c r="E146" s="64" t="n"/>
      <c r="F146" s="69" t="n"/>
      <c r="G146" s="69" t="n"/>
      <c r="H146" s="70" t="n"/>
      <c r="I146" s="70" t="n"/>
      <c r="J146" s="68" t="n"/>
    </row>
    <row r="147">
      <c r="B147" s="34" t="n"/>
      <c r="C147" s="34" t="n"/>
      <c r="D147" s="34" t="n"/>
      <c r="E147" s="64" t="n"/>
      <c r="F147" s="69" t="n"/>
      <c r="G147" s="69" t="n"/>
      <c r="H147" s="70" t="n"/>
      <c r="I147" s="70" t="n"/>
      <c r="J147" s="68" t="n"/>
    </row>
    <row r="148">
      <c r="B148" s="34" t="n"/>
      <c r="C148" s="34" t="n"/>
      <c r="D148" s="34" t="n"/>
      <c r="E148" s="64" t="n"/>
      <c r="F148" s="69" t="n"/>
      <c r="G148" s="69" t="n"/>
      <c r="H148" s="70" t="n"/>
      <c r="I148" s="70" t="n"/>
      <c r="J148" s="68" t="n"/>
    </row>
    <row r="149">
      <c r="B149" s="15" t="inlineStr">
        <is>
          <t>* αm overridden in the restraints table.  Full working for the governing segment follows.</t>
        </is>
      </c>
    </row>
    <row r="151" ht="20" customHeight="1">
      <c r="B151" s="10" t="inlineStr">
        <is>
          <t>Governing Segment – Working</t>
        </is>
      </c>
      <c r="C151" s="11" t="n"/>
      <c r="D151" s="11" t="n"/>
      <c r="E151" s="11" t="n"/>
      <c r="F151" s="11" t="n"/>
      <c r="G151" s="11" t="n"/>
      <c r="H151" s="11" t="n"/>
      <c r="I151" s="11" t="n"/>
      <c r="J151" s="11" t="n"/>
    </row>
    <row r="152">
      <c r="B152" s="15" t="inlineStr">
        <is>
          <t>OAR.ULSDETAIL: change the comboId / segment arguments to show any other segment.</t>
        </is>
      </c>
    </row>
    <row r="153">
      <c r="D153" s="71" cm="1">
        <f t="array" ref="D153">OAR.ULSDETAIL(SectionSize,Grade,Span,E_mod,IncludeSW,Loads_B1[[Case]:[End (mm)]],_xlfn.ANCHORARRAY(B79),Restraints_B1[#Data],$I$90:$J$91)</f>
        <v/>
      </c>
      <c r="E153" s="72" t="n"/>
      <c r="F153" s="35" t="n"/>
    </row>
    <row r="154">
      <c r="D154" s="71" t="n"/>
      <c r="E154" s="72" t="n"/>
      <c r="F154" s="35" t="n"/>
    </row>
    <row r="155">
      <c r="D155" s="71" t="n"/>
      <c r="E155" s="72" t="n"/>
      <c r="F155" s="35" t="n"/>
    </row>
    <row r="156">
      <c r="D156" s="71" t="n"/>
      <c r="E156" s="72" t="n"/>
      <c r="F156" s="35" t="n"/>
    </row>
    <row r="157">
      <c r="D157" s="71" t="n"/>
      <c r="E157" s="72" t="n"/>
      <c r="F157" s="35" t="n"/>
    </row>
    <row r="158">
      <c r="D158" s="71" t="n"/>
      <c r="E158" s="72" t="n"/>
      <c r="F158" s="35" t="n"/>
    </row>
    <row r="159">
      <c r="D159" s="71" t="n"/>
      <c r="E159" s="72" t="n"/>
      <c r="F159" s="35" t="n"/>
    </row>
    <row r="160">
      <c r="D160" s="71" t="n"/>
      <c r="E160" s="72" t="n"/>
      <c r="F160" s="35" t="n"/>
    </row>
    <row r="161">
      <c r="D161" s="71" t="n"/>
      <c r="E161" s="72" t="n"/>
      <c r="F161" s="35" t="n"/>
    </row>
    <row r="162">
      <c r="D162" s="71" t="n"/>
      <c r="E162" s="72" t="n"/>
      <c r="F162" s="35" t="n"/>
    </row>
    <row r="163">
      <c r="D163" s="71" t="n"/>
      <c r="E163" s="72" t="n"/>
      <c r="F163" s="35" t="n"/>
    </row>
    <row r="164">
      <c r="D164" s="71" t="n"/>
      <c r="E164" s="72" t="n"/>
      <c r="F164" s="35" t="n"/>
    </row>
    <row r="165">
      <c r="D165" s="71" t="n"/>
      <c r="E165" s="72" t="n"/>
      <c r="F165" s="35" t="n"/>
    </row>
    <row r="166">
      <c r="D166" s="71" t="n"/>
      <c r="E166" s="72" t="n"/>
      <c r="F166" s="35" t="n"/>
    </row>
    <row r="167">
      <c r="D167" s="71" t="n"/>
      <c r="E167" s="72" t="n"/>
      <c r="F167" s="35" t="n"/>
    </row>
    <row r="168">
      <c r="D168" s="71" t="n"/>
      <c r="E168" s="72" t="n"/>
      <c r="F168" s="35" t="n"/>
    </row>
    <row r="169">
      <c r="D169" s="71" t="n"/>
      <c r="E169" s="72" t="n"/>
      <c r="F169" s="35" t="n"/>
    </row>
    <row r="170">
      <c r="D170" s="71" t="n"/>
      <c r="E170" s="72" t="n"/>
      <c r="F170" s="35" t="n"/>
    </row>
    <row r="171">
      <c r="D171" s="71" t="n"/>
      <c r="E171" s="72" t="n"/>
      <c r="F171" s="35" t="n"/>
    </row>
    <row r="172">
      <c r="D172" s="71" t="n"/>
      <c r="E172" s="72" t="n"/>
      <c r="F172" s="35" t="n"/>
    </row>
    <row r="173">
      <c r="D173" s="71" t="n"/>
      <c r="E173" s="72" t="n"/>
      <c r="F173" s="35" t="n"/>
    </row>
    <row r="174">
      <c r="D174" s="71" t="n"/>
      <c r="E174" s="72" t="n"/>
      <c r="F174" s="35" t="n"/>
    </row>
    <row r="176" ht="20" customHeight="1">
      <c r="B176" s="10" t="inlineStr">
        <is>
          <t>Shear (AS 4100 Cl. 5.11)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59" t="inlineStr">
        <is>
          <t>Combo</t>
        </is>
      </c>
      <c r="C177" s="59" t="inlineStr">
        <is>
          <t>V* (kN)</t>
        </is>
      </c>
      <c r="D177" s="59" t="inlineStr">
        <is>
          <t>at x (m)</t>
        </is>
      </c>
      <c r="E177" s="59" t="inlineStr">
        <is>
          <t>φVv (kN)</t>
        </is>
      </c>
      <c r="F177" s="59" t="inlineStr">
        <is>
          <t>Utilisation</t>
        </is>
      </c>
      <c r="G177" s="59" t="inlineStr">
        <is>
          <t>Note</t>
        </is>
      </c>
    </row>
    <row r="178">
      <c r="B178" s="34" cm="1">
        <f t="array" ref="B178">OAR.SHEAR(SectionSize,Grade,Span,IncludeSW,Loads_B1[[Case]:[End (mm)]],_xlfn.ANCHORARRAY(B79))</f>
        <v/>
      </c>
      <c r="C178" s="70" t="n"/>
      <c r="D178" s="64" t="n"/>
      <c r="E178" s="70" t="n"/>
      <c r="F178" s="68" t="n"/>
      <c r="G178" s="73" t="n"/>
    </row>
    <row r="179">
      <c r="B179" s="34" t="n"/>
      <c r="C179" s="70" t="n"/>
      <c r="D179" s="64" t="n"/>
      <c r="E179" s="70" t="n"/>
      <c r="F179" s="68" t="n"/>
      <c r="G179" s="73" t="n"/>
    </row>
    <row r="180">
      <c r="B180" s="34" t="n"/>
      <c r="C180" s="70" t="n"/>
      <c r="D180" s="64" t="n"/>
      <c r="E180" s="70" t="n"/>
      <c r="F180" s="68" t="n"/>
      <c r="G180" s="73" t="n"/>
    </row>
    <row r="181">
      <c r="B181" s="34" t="n"/>
      <c r="C181" s="70" t="n"/>
      <c r="D181" s="64" t="n"/>
      <c r="E181" s="70" t="n"/>
      <c r="F181" s="68" t="n"/>
      <c r="G181" s="73" t="n"/>
    </row>
    <row r="182">
      <c r="B182" s="34" t="n"/>
      <c r="C182" s="70" t="n"/>
      <c r="D182" s="64" t="n"/>
      <c r="E182" s="70" t="n"/>
      <c r="F182" s="68" t="n"/>
      <c r="G182" s="73" t="n"/>
    </row>
    <row r="183">
      <c r="B183" s="34" t="n"/>
      <c r="C183" s="70" t="n"/>
      <c r="D183" s="64" t="n"/>
      <c r="E183" s="70" t="n"/>
      <c r="F183" s="68" t="n"/>
      <c r="G183" s="73" t="n"/>
    </row>
    <row r="184">
      <c r="B184" s="34" t="n"/>
      <c r="C184" s="70" t="n"/>
      <c r="D184" s="64" t="n"/>
      <c r="E184" s="70" t="n"/>
      <c r="F184" s="68" t="n"/>
      <c r="G184" s="73" t="n"/>
    </row>
    <row r="185">
      <c r="B185" s="34" t="n"/>
      <c r="C185" s="70" t="n"/>
      <c r="D185" s="64" t="n"/>
      <c r="E185" s="70" t="n"/>
      <c r="F185" s="68" t="n"/>
      <c r="G185" s="73" t="n"/>
    </row>
    <row r="187" ht="20" customHeight="1">
      <c r="B187" s="10" t="inlineStr">
        <is>
          <t>Support Reactions</t>
        </is>
      </c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>
      <c r="B188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89">
      <c r="B189" s="25" t="inlineStr">
        <is>
          <t>Case</t>
        </is>
      </c>
      <c r="D189" s="25" t="inlineStr">
        <is>
          <t>Left (kN)</t>
        </is>
      </c>
      <c r="E189" s="25" t="inlineStr">
        <is>
          <t>Right (kN)</t>
        </is>
      </c>
      <c r="F189" s="25" t="inlineStr">
        <is>
          <t>Transfer names</t>
        </is>
      </c>
    </row>
    <row r="190">
      <c r="B190" s="51" t="inlineStr">
        <is>
          <t>G</t>
        </is>
      </c>
      <c r="C190" s="52" t="n"/>
      <c r="D190" s="36" cm="1">
        <f t="array" ref="D190">INDEX(OAR.REACTIONS(SectionSize,Span,IncludeSW,Loads_B1[[Case]:[End (mm)]],_xlfn.ANCHORARRAY(B79)),1,2)</f>
        <v/>
      </c>
      <c r="E190" s="36" cm="1">
        <f t="array" ref="E190">INDEX(OAR.REACTIONS(SectionSize,Span,IncludeSW,Loads_B1[[Case]:[End (mm)]],_xlfn.ANCHORARRAY(B79)),1,3)</f>
        <v/>
      </c>
      <c r="F190" s="21" t="inlineStr">
        <is>
          <t>RxnL_G  ·  RxnR_G</t>
        </is>
      </c>
    </row>
    <row r="191">
      <c r="B191" s="51" t="inlineStr">
        <is>
          <t>Q</t>
        </is>
      </c>
      <c r="C191" s="52" t="n"/>
      <c r="D191" s="36" cm="1">
        <f t="array" ref="D191">INDEX(OAR.REACTIONS(SectionSize,Span,IncludeSW,Loads_B1[[Case]:[End (mm)]],_xlfn.ANCHORARRAY(B79)),2,2)</f>
        <v/>
      </c>
      <c r="E191" s="36" cm="1">
        <f t="array" ref="E191">INDEX(OAR.REACTIONS(SectionSize,Span,IncludeSW,Loads_B1[[Case]:[End (mm)]],_xlfn.ANCHORARRAY(B79)),2,3)</f>
        <v/>
      </c>
      <c r="F191" s="21" t="inlineStr">
        <is>
          <t>RxnL_Q  ·  RxnR_Q</t>
        </is>
      </c>
    </row>
    <row r="192">
      <c r="B192" s="51" t="inlineStr">
        <is>
          <t>Wd</t>
        </is>
      </c>
      <c r="C192" s="52" t="n"/>
      <c r="D192" s="36" cm="1">
        <f t="array" ref="D192">INDEX(OAR.REACTIONS(SectionSize,Span,IncludeSW,Loads_B1[[Case]:[End (mm)]],_xlfn.ANCHORARRAY(B79)),3,2)</f>
        <v/>
      </c>
      <c r="E192" s="36" cm="1">
        <f t="array" ref="E192">INDEX(OAR.REACTIONS(SectionSize,Span,IncludeSW,Loads_B1[[Case]:[End (mm)]],_xlfn.ANCHORARRAY(B79)),3,3)</f>
        <v/>
      </c>
      <c r="F192" s="21" t="inlineStr">
        <is>
          <t>RxnL_Wd  ·  RxnR_Wd</t>
        </is>
      </c>
    </row>
    <row r="193">
      <c r="B193" s="51" t="inlineStr">
        <is>
          <t>Wu</t>
        </is>
      </c>
      <c r="C193" s="52" t="n"/>
      <c r="D193" s="36" cm="1">
        <f t="array" ref="D193">-INDEX(OAR.REACTIONS(SectionSize,Span,IncludeSW,Loads_B1[[Case]:[End (mm)]],_xlfn.ANCHORARRAY(B79)),4,2)</f>
        <v/>
      </c>
      <c r="E193" s="36" cm="1">
        <f t="array" ref="E193">-INDEX(OAR.REACTIONS(SectionSize,Span,IncludeSW,Loads_B1[[Case]:[End (mm)]],_xlfn.ANCHORARRAY(B79)),4,3)</f>
        <v/>
      </c>
      <c r="F193" s="21" t="inlineStr">
        <is>
          <t>RxnL_Wu  ·  RxnR_Wu</t>
        </is>
      </c>
    </row>
    <row r="194">
      <c r="B194" s="51" t="inlineStr">
        <is>
          <t>Wid</t>
        </is>
      </c>
      <c r="C194" s="52" t="n"/>
      <c r="D194" s="36" cm="1">
        <f t="array" ref="D194">INDEX(OAR.REACTIONS(SectionSize,Span,IncludeSW,Loads_B1[[Case]:[End (mm)]],_xlfn.ANCHORARRAY(B79)),5,2)</f>
        <v/>
      </c>
      <c r="E194" s="36" cm="1">
        <f t="array" ref="E194">INDEX(OAR.REACTIONS(SectionSize,Span,IncludeSW,Loads_B1[[Case]:[End (mm)]],_xlfn.ANCHORARRAY(B79)),5,3)</f>
        <v/>
      </c>
      <c r="F194" s="21" t="inlineStr">
        <is>
          <t>RxnL_Wid  ·  RxnR_Wid</t>
        </is>
      </c>
    </row>
    <row r="195">
      <c r="B195" s="51" t="inlineStr">
        <is>
          <t>Wiu</t>
        </is>
      </c>
      <c r="C195" s="52" t="n"/>
      <c r="D195" s="36" cm="1">
        <f t="array" ref="D195">-INDEX(OAR.REACTIONS(SectionSize,Span,IncludeSW,Loads_B1[[Case]:[End (mm)]],_xlfn.ANCHORARRAY(B79)),6,2)</f>
        <v/>
      </c>
      <c r="E195" s="36" cm="1">
        <f t="array" ref="E195">-INDEX(OAR.REACTIONS(SectionSize,Span,IncludeSW,Loads_B1[[Case]:[End (mm)]],_xlfn.ANCHORARRAY(B79)),6,3)</f>
        <v/>
      </c>
      <c r="F195" s="21" t="inlineStr">
        <is>
          <t>RxnL_Wiu  ·  RxnR_Wiu</t>
        </is>
      </c>
    </row>
    <row r="197">
      <c r="B197" s="15" t="inlineStr">
        <is>
          <t>All cases and active combinations (kN, + = upward reaction; uplift cases show negative)</t>
        </is>
      </c>
    </row>
    <row r="198">
      <c r="B198" s="59" t="inlineStr">
        <is>
          <t>ID</t>
        </is>
      </c>
      <c r="C198" s="59" t="inlineStr">
        <is>
          <t>Left (kN)</t>
        </is>
      </c>
      <c r="D198" s="59" t="inlineStr">
        <is>
          <t>Right (kN)</t>
        </is>
      </c>
    </row>
    <row r="199">
      <c r="B199" s="34" cm="1">
        <f t="array" ref="B199">OAR.REACTIONS(SectionSize,Span,IncludeSW,Loads_B1[[Case]:[End (mm)]],_xlfn.ANCHORARRAY(B79))</f>
        <v/>
      </c>
      <c r="C199" s="64" t="n"/>
      <c r="D199" s="64" t="n"/>
    </row>
    <row r="200">
      <c r="B200" s="34" t="n"/>
      <c r="C200" s="64" t="n"/>
      <c r="D200" s="64" t="n"/>
    </row>
    <row r="201">
      <c r="B201" s="34" t="n"/>
      <c r="C201" s="64" t="n"/>
      <c r="D201" s="64" t="n"/>
    </row>
    <row r="202">
      <c r="B202" s="34" t="n"/>
      <c r="C202" s="64" t="n"/>
      <c r="D202" s="64" t="n"/>
    </row>
    <row r="203">
      <c r="B203" s="34" t="n"/>
      <c r="C203" s="64" t="n"/>
      <c r="D203" s="64" t="n"/>
    </row>
    <row r="204">
      <c r="B204" s="34" t="n"/>
      <c r="C204" s="64" t="n"/>
      <c r="D204" s="64" t="n"/>
    </row>
    <row r="205">
      <c r="B205" s="34" t="n"/>
      <c r="C205" s="64" t="n"/>
      <c r="D205" s="64" t="n"/>
    </row>
    <row r="206">
      <c r="B206" s="34" t="n"/>
      <c r="C206" s="64" t="n"/>
      <c r="D206" s="64" t="n"/>
    </row>
    <row r="207">
      <c r="B207" s="34" t="n"/>
      <c r="C207" s="64" t="n"/>
      <c r="D207" s="64" t="n"/>
    </row>
    <row r="208">
      <c r="B208" s="34" t="n"/>
      <c r="C208" s="64" t="n"/>
      <c r="D208" s="64" t="n"/>
    </row>
    <row r="209">
      <c r="B209" s="34" t="n"/>
      <c r="C209" s="64" t="n"/>
      <c r="D209" s="64" t="n"/>
    </row>
    <row r="210">
      <c r="B210" s="34" t="n"/>
      <c r="C210" s="64" t="n"/>
      <c r="D210" s="64" t="n"/>
    </row>
    <row r="211">
      <c r="B211" s="34" t="n"/>
      <c r="C211" s="64" t="n"/>
      <c r="D211" s="64" t="n"/>
    </row>
    <row r="212">
      <c r="B212" s="34" t="n"/>
      <c r="C212" s="64" t="n"/>
      <c r="D212" s="64" t="n"/>
    </row>
  </sheetData>
  <mergeCells count="40">
    <mergeCell ref="B16:C16"/>
    <mergeCell ref="F191:G191"/>
    <mergeCell ref="F10:G10"/>
    <mergeCell ref="B194:C194"/>
    <mergeCell ref="B190:C190"/>
    <mergeCell ref="B22:C22"/>
    <mergeCell ref="B193:C193"/>
    <mergeCell ref="F193:G193"/>
    <mergeCell ref="B18:C18"/>
    <mergeCell ref="B10:D10"/>
    <mergeCell ref="B39:C39"/>
    <mergeCell ref="F192:G192"/>
    <mergeCell ref="B21:C21"/>
    <mergeCell ref="M8:T40"/>
    <mergeCell ref="B195:C195"/>
    <mergeCell ref="F189:G189"/>
    <mergeCell ref="B23:C23"/>
    <mergeCell ref="G2:J2"/>
    <mergeCell ref="F194:G194"/>
    <mergeCell ref="B17:C17"/>
    <mergeCell ref="B6:J6"/>
    <mergeCell ref="I3:J3"/>
    <mergeCell ref="B13:C13"/>
    <mergeCell ref="B38:C38"/>
    <mergeCell ref="E30:F30"/>
    <mergeCell ref="B191:C191"/>
    <mergeCell ref="B19:C19"/>
    <mergeCell ref="B37:C37"/>
    <mergeCell ref="F190:G190"/>
    <mergeCell ref="B40:C40"/>
    <mergeCell ref="I1:J1"/>
    <mergeCell ref="B192:C192"/>
    <mergeCell ref="I4:J4"/>
    <mergeCell ref="B15:C15"/>
    <mergeCell ref="F195:G195"/>
    <mergeCell ref="I10:J10"/>
    <mergeCell ref="B189:C189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79:J86">
    <cfRule type="expression" priority="10" dxfId="7">
      <formula>$B79&lt;&gt;""</formula>
    </cfRule>
  </conditionalFormatting>
  <conditionalFormatting sqref="B22:J22">
    <cfRule type="expression" priority="11" dxfId="8">
      <formula>NumUpliftCombos=0</formula>
    </cfRule>
  </conditionalFormatting>
  <conditionalFormatting sqref="B99:G103">
    <cfRule type="expression" priority="12" dxfId="7">
      <formula>$B99&lt;&gt;""</formula>
    </cfRule>
  </conditionalFormatting>
  <conditionalFormatting sqref="G99:G103">
    <cfRule type="expression" priority="13" dxfId="0">
      <formula>AND(ISNUMBER(G99),G99&gt;1)</formula>
    </cfRule>
  </conditionalFormatting>
  <conditionalFormatting sqref="B133:J148">
    <cfRule type="expression" priority="14" dxfId="7">
      <formula>$B133&lt;&gt;""</formula>
    </cfRule>
  </conditionalFormatting>
  <conditionalFormatting sqref="J133:J148">
    <cfRule type="expression" priority="15" dxfId="0">
      <formula>AND(ISNUMBER(J133),J133&gt;1)</formula>
    </cfRule>
  </conditionalFormatting>
  <conditionalFormatting sqref="C133:C148">
    <cfRule type="expression" priority="16" dxfId="9">
      <formula>RIGHT(C133,1)="*"</formula>
    </cfRule>
  </conditionalFormatting>
  <conditionalFormatting sqref="B178:F185">
    <cfRule type="expression" priority="17" dxfId="7">
      <formula>$B178&lt;&gt;""</formula>
    </cfRule>
  </conditionalFormatting>
  <conditionalFormatting sqref="F178:F185">
    <cfRule type="expression" priority="18" dxfId="0">
      <formula>AND(ISNUMBER(F178),F178&gt;1)</formula>
    </cfRule>
  </conditionalFormatting>
  <conditionalFormatting sqref="B199:D212">
    <cfRule type="expression" priority="19" dxfId="7">
      <formula>$B199&lt;&gt;""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76" showDropDown="0" showInputMessage="0" showErrorMessage="0" allowBlank="0" type="list">
      <formula1>"Floor,Roof,All,Custom"</formula1>
    </dataValidation>
    <dataValidation sqref="E90:F94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96" min="0" max="16383" man="1"/>
    <brk id="150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2026-10-27T13:37:44Z</dcterms:created>
  <dcterms:modified xmlns:dcterms="http://purl.org/dc/terms/" xmlns:xsi="http://www.w3.org/2001/XMLSchema-instance" xsi:type="dcterms:W3CDTF">2026-10-27T13:37:44Z</dcterms:modified>
</cp:coreProperties>
</file>