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'B1'!$D$179</definedName>
    <definedName name="RxnR_G" localSheetId="0">'B1'!$E$179</definedName>
    <definedName name="RxnL_Q" localSheetId="0">'B1'!$D$180</definedName>
    <definedName name="RxnR_Q" localSheetId="0">'B1'!$E$180</definedName>
    <definedName name="RxnL_Wd" localSheetId="0">'B1'!$D$181</definedName>
    <definedName name="RxnR_Wd" localSheetId="0">'B1'!$E$181</definedName>
    <definedName name="RxnL_Wu" localSheetId="0">'B1'!$D$182</definedName>
    <definedName name="RxnR_Wu" localSheetId="0">'B1'!$E$182</definedName>
    <definedName name="RxnL_Wid" localSheetId="0">'B1'!$D$183</definedName>
    <definedName name="RxnR_Wid" localSheetId="0">'B1'!$E$183</definedName>
    <definedName name="RxnL_Wiu" localSheetId="0">'B1'!$D$184</definedName>
    <definedName name="RxnR_Wiu" localSheetId="0">'B1'!$E$184</definedName>
    <definedName name="Out_Reactions" localSheetId="0">'B1'!$B$188</definedName>
    <definedName name="_xlnm.Print_Area" localSheetId="0">'B1'!$A$1:$K$202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5" borderId="0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'B1'!AC13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'B1'!$AC$14:$AC$74</f>
            </numRef>
          </yVal>
          <smooth val="0"/>
        </ser>
        <ser>
          <idx val="1"/>
          <order val="1"/>
          <tx>
            <strRef>
              <f>'B1'!AD13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'B1'!$AD$14:$AD$74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V* (kN)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3131999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106</row>
      <rowOff>0</rowOff>
    </from>
    <ext cx="3131999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autoFilter ref="B46:J57"/>
  <tableColumns count="9">
    <tableColumn id="2" name="Case"/>
    <tableColumn id="3" name="Type"/>
    <tableColumn id="4" name="Description"/>
    <tableColumn id="5" name="Trib (m | m²)"/>
    <tableColumn id="6" name="Press. (kPa)"/>
    <tableColumn id="7" name="+ Direct (kN/m | kN)"/>
    <tableColumn id="8" name="Start (mm)"/>
    <tableColumn id="9" name="End (mm)"/>
    <tableColumn id="10" name="Load"/>
  </tableColumns>
  <tableStyleInfo name="TableStyleLight15" showRowStripes="0"/>
</table>
</file>

<file path=xl/tables/table2.xml><?xml version="1.0" encoding="utf-8"?>
<table xmlns="http://schemas.openxmlformats.org/spreadsheetml/2006/main" id="2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3.xml><?xml version="1.0" encoding="utf-8"?>
<table xmlns="http://schemas.openxmlformats.org/spreadsheetml/2006/main" id="3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L201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(mm)]],_xlfn.ANCHORARRAY(B66),Restraints_B1,$I$77:$J$78)</f>
        <v/>
      </c>
      <c r="AL8" s="19" cm="1">
        <f t="array" ref="AL8">OAR.SECTIONLIST(SectionType)</f>
        <v/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0" t="inlineStr">
        <is>
          <t>Status</t>
        </is>
      </c>
      <c r="M9" s="21" t="n"/>
      <c r="N9" s="22" t="n"/>
      <c r="O9" s="22" t="n"/>
      <c r="P9" s="22" t="n"/>
      <c r="Q9" s="22" t="n"/>
      <c r="R9" s="22" t="n"/>
      <c r="S9" s="22" t="n"/>
      <c r="T9" s="23" t="n"/>
    </row>
    <row r="10" ht="20" customHeight="1">
      <c r="B10" s="24">
        <f>IF(SectionSize="","–",SectionSize&amp;"  Gr "&amp;Grade)</f>
        <v/>
      </c>
      <c r="F10" s="25">
        <f>IF(COUNT(I14:I23)=0,"–",MAX(I14:I23))</f>
        <v/>
      </c>
      <c r="I10" s="26">
        <f>IF(COUNT(I14:I23)=0,"PENDING",IF(MAX(I14:I23)&lt;=1,"PASS","FAIL"))</f>
        <v/>
      </c>
      <c r="J10" s="27" t="n"/>
      <c r="M10" s="21" t="n"/>
      <c r="N10" s="22" t="n"/>
      <c r="O10" s="22" t="n"/>
      <c r="P10" s="22" t="n"/>
      <c r="Q10" s="22" t="n"/>
      <c r="R10" s="22" t="n"/>
      <c r="S10" s="22" t="n"/>
      <c r="T10" s="23" t="n"/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1" t="n"/>
      <c r="N11" s="22" t="n"/>
      <c r="O11" s="22" t="n"/>
      <c r="P11" s="22" t="n"/>
      <c r="Q11" s="22" t="n"/>
      <c r="R11" s="22" t="n"/>
      <c r="S11" s="22" t="n"/>
      <c r="T11" s="23" t="n"/>
    </row>
    <row r="12" ht="14" customHeight="1">
      <c r="M12" s="21" t="n"/>
      <c r="N12" s="22" t="n"/>
      <c r="O12" s="22" t="n"/>
      <c r="P12" s="22" t="n"/>
      <c r="Q12" s="22" t="n"/>
      <c r="R12" s="22" t="n"/>
      <c r="S12" s="22" t="n"/>
      <c r="T12" s="23" t="n"/>
      <c r="Z12" s="15" t="inlineStr">
        <is>
          <t>Envelope (OAR.ENVELOPE)</t>
        </is>
      </c>
      <c r="AF12" s="15" t="inlineStr">
        <is>
          <t>Deflected shapes (OAR.DEFLECTIONS)</t>
        </is>
      </c>
    </row>
    <row r="13" ht="16" customHeight="1">
      <c r="B13" s="28" t="inlineStr">
        <is>
          <t>Check</t>
        </is>
      </c>
      <c r="D13" s="28" t="inlineStr">
        <is>
          <t>Basis</t>
        </is>
      </c>
      <c r="E13" s="28" t="inlineStr">
        <is>
          <t>Actual</t>
        </is>
      </c>
      <c r="F13" s="28" t="inlineStr">
        <is>
          <t>Limit</t>
        </is>
      </c>
      <c r="G13" s="28" t="inlineStr">
        <is>
          <t>Unit</t>
        </is>
      </c>
      <c r="H13" s="28" t="inlineStr">
        <is>
          <t>L / x</t>
        </is>
      </c>
      <c r="I13" s="28" t="inlineStr">
        <is>
          <t>Utilisation</t>
        </is>
      </c>
      <c r="J13" s="28" t="inlineStr">
        <is>
          <t>Status</t>
        </is>
      </c>
      <c r="M13" s="21" t="n"/>
      <c r="N13" s="22" t="n"/>
      <c r="O13" s="22" t="n"/>
      <c r="P13" s="22" t="n"/>
      <c r="Q13" s="22" t="n"/>
      <c r="R13" s="22" t="n"/>
      <c r="S13" s="22" t="n"/>
      <c r="T13" s="23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</row>
    <row r="14" ht="14" customHeight="1">
      <c r="B14" s="29" t="inlineStr">
        <is>
          <t>Serviceability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  <c r="M14" s="21" t="n"/>
      <c r="N14" s="22" t="n"/>
      <c r="O14" s="22" t="n"/>
      <c r="P14" s="22" t="n"/>
      <c r="Q14" s="22" t="n"/>
      <c r="R14" s="22" t="n"/>
      <c r="S14" s="22" t="n"/>
      <c r="T14" s="23" t="n"/>
    </row>
    <row r="15" ht="14" customHeight="1">
      <c r="B15" s="31" t="inlineStr">
        <is>
          <t>Δg</t>
        </is>
      </c>
      <c r="D15" s="32" t="inlineStr">
        <is>
          <t>Dead load</t>
        </is>
      </c>
      <c r="E15" s="33" cm="1">
        <f t="array" ref="E15">INDEX(_xlfn.ANCHORARRAY(B86),1,2)</f>
        <v/>
      </c>
      <c r="F15" s="33">
        <f>IF(N(E37)=0,"",IF(N(F37)=0,Span/E37,MIN(Span/E37,F37)))</f>
        <v/>
      </c>
      <c r="G15" s="34" t="inlineStr">
        <is>
          <t>mm</t>
        </is>
      </c>
      <c r="H15" s="35">
        <f>IF(N(E15)=0,"",Span/E15)</f>
        <v/>
      </c>
      <c r="I15" s="36">
        <f>IF(OR(E15="",N(F15)=0),"",ABS(E15)/F15)</f>
        <v/>
      </c>
      <c r="J15" s="37">
        <f>IF(I15="","–",IF(I15&lt;=1,"OK","NG"))</f>
        <v/>
      </c>
      <c r="M15" s="21" t="n"/>
      <c r="N15" s="22" t="n"/>
      <c r="O15" s="22" t="n"/>
      <c r="P15" s="22" t="n"/>
      <c r="Q15" s="22" t="n"/>
      <c r="R15" s="22" t="n"/>
      <c r="S15" s="22" t="n"/>
      <c r="T15" s="23" t="n"/>
    </row>
    <row r="16" ht="14" customHeight="1">
      <c r="B16" s="31" t="inlineStr">
        <is>
          <t>Δg+ψl·q</t>
        </is>
      </c>
      <c r="D16" s="32" t="inlineStr">
        <is>
          <t>Long term</t>
        </is>
      </c>
      <c r="E16" s="33" cm="1">
        <f t="array" ref="E16">INDEX(_xlfn.ANCHORARRAY(B86),2,2)</f>
        <v/>
      </c>
      <c r="F16" s="33">
        <f>IF(N(E38)=0,"",IF(N(F38)=0,Span/E38,MIN(Span/E38,F38)))</f>
        <v/>
      </c>
      <c r="G16" s="34" t="inlineStr">
        <is>
          <t>mm</t>
        </is>
      </c>
      <c r="H16" s="35">
        <f>IF(N(E16)=0,"",Span/E16)</f>
        <v/>
      </c>
      <c r="I16" s="36">
        <f>IF(OR(E16="",N(F16)=0),"",ABS(E16)/F16)</f>
        <v/>
      </c>
      <c r="J16" s="37">
        <f>IF(I16="","–",IF(I16&lt;=1,"OK","NG"))</f>
        <v/>
      </c>
      <c r="M16" s="21" t="n"/>
      <c r="N16" s="22" t="n"/>
      <c r="O16" s="22" t="n"/>
      <c r="P16" s="22" t="n"/>
      <c r="Q16" s="22" t="n"/>
      <c r="R16" s="22" t="n"/>
      <c r="S16" s="22" t="n"/>
      <c r="T16" s="23" t="n"/>
    </row>
    <row r="17" ht="14" customHeight="1">
      <c r="B17" s="31" t="inlineStr">
        <is>
          <t>Δg+ψs·q</t>
        </is>
      </c>
      <c r="D17" s="32" t="inlineStr">
        <is>
          <t>Short term</t>
        </is>
      </c>
      <c r="E17" s="33" cm="1">
        <f t="array" ref="E17">INDEX(_xlfn.ANCHORARRAY(B86),3,2)</f>
        <v/>
      </c>
      <c r="F17" s="33">
        <f>IF(N(E39)=0,"",IF(N(F39)=0,Span/E39,MIN(Span/E39,F39)))</f>
        <v/>
      </c>
      <c r="G17" s="34" t="inlineStr">
        <is>
          <t>mm</t>
        </is>
      </c>
      <c r="H17" s="35">
        <f>IF(N(E17)=0,"",Span/E17)</f>
        <v/>
      </c>
      <c r="I17" s="36">
        <f>IF(OR(E17="",N(F17)=0),"",ABS(E17)/F17)</f>
        <v/>
      </c>
      <c r="J17" s="37">
        <f>IF(I17="","–",IF(I17&lt;=1,"OK","NG"))</f>
        <v/>
      </c>
      <c r="M17" s="21" t="n"/>
      <c r="N17" s="22" t="n"/>
      <c r="O17" s="22" t="n"/>
      <c r="P17" s="22" t="n"/>
      <c r="Q17" s="22" t="n"/>
      <c r="R17" s="22" t="n"/>
      <c r="S17" s="22" t="n"/>
      <c r="T17" s="23" t="n"/>
    </row>
    <row r="18" ht="14" customHeight="1">
      <c r="B18" s="31" t="inlineStr">
        <is>
          <t>Δq</t>
        </is>
      </c>
      <c r="D18" s="32" t="inlineStr">
        <is>
          <t>Live load only</t>
        </is>
      </c>
      <c r="E18" s="33" cm="1">
        <f t="array" ref="E18">INDEX(_xlfn.ANCHORARRAY(B86),4,2)</f>
        <v/>
      </c>
      <c r="F18" s="33">
        <f>IF(N(E40)=0,"",IF(N(F40)=0,Span/E40,MIN(Span/E40,F40)))</f>
        <v/>
      </c>
      <c r="G18" s="34" t="inlineStr">
        <is>
          <t>mm</t>
        </is>
      </c>
      <c r="H18" s="35">
        <f>IF(N(E18)=0,"",Span/E18)</f>
        <v/>
      </c>
      <c r="I18" s="36">
        <f>IF(OR(E18="",N(F18)=0),"",ABS(E18)/F18)</f>
        <v/>
      </c>
      <c r="J18" s="37">
        <f>IF(I18="","–",IF(I18&lt;=1,"OK","NG"))</f>
        <v/>
      </c>
      <c r="M18" s="21" t="n"/>
      <c r="N18" s="22" t="n"/>
      <c r="O18" s="22" t="n"/>
      <c r="P18" s="22" t="n"/>
      <c r="Q18" s="22" t="n"/>
      <c r="R18" s="22" t="n"/>
      <c r="S18" s="22" t="n"/>
      <c r="T18" s="23" t="n"/>
    </row>
    <row r="19" ht="14" customHeight="1">
      <c r="B19" s="31" t="inlineStr">
        <is>
          <t>Δ1kN</t>
        </is>
      </c>
      <c r="D19" s="32" t="inlineStr">
        <is>
          <t>1 kN at midspan</t>
        </is>
      </c>
      <c r="E19" s="33" cm="1">
        <f t="array" ref="E19">INDEX(_xlfn.ANCHORARRAY(B86),5,2)</f>
        <v/>
      </c>
      <c r="F19" s="33">
        <f>IF(N(E41)=0,"",IF(N(F41)=0,Span/E41,MIN(Span/E41,F41)))</f>
        <v/>
      </c>
      <c r="G19" s="34" t="inlineStr">
        <is>
          <t>mm</t>
        </is>
      </c>
      <c r="H19" s="35">
        <f>IF(N(E19)=0,"",Span/E19)</f>
        <v/>
      </c>
      <c r="I19" s="36">
        <f>IF(OR(E19="",N(F19)=0),"",ABS(E19)/F19)</f>
        <v/>
      </c>
      <c r="J19" s="37">
        <f>IF(I19="","–",IF(I19&lt;=1,"OK","NG"))</f>
        <v/>
      </c>
      <c r="M19" s="21" t="n"/>
      <c r="N19" s="22" t="n"/>
      <c r="O19" s="22" t="n"/>
      <c r="P19" s="22" t="n"/>
      <c r="Q19" s="22" t="n"/>
      <c r="R19" s="22" t="n"/>
      <c r="S19" s="22" t="n"/>
      <c r="T19" s="23" t="n"/>
    </row>
    <row r="20" ht="14" customHeight="1">
      <c r="B20" s="29" t="inlineStr">
        <is>
          <t>Strength</t>
        </is>
      </c>
      <c r="C20" s="30" t="n"/>
      <c r="D20" s="30" t="n"/>
      <c r="E20" s="30" t="n"/>
      <c r="F20" s="30" t="n"/>
      <c r="G20" s="30" t="n"/>
      <c r="H20" s="30" t="n"/>
      <c r="I20" s="30" t="n"/>
      <c r="J20" s="30" t="n"/>
      <c r="M20" s="21" t="n"/>
      <c r="N20" s="22" t="n"/>
      <c r="O20" s="22" t="n"/>
      <c r="P20" s="22" t="n"/>
      <c r="Q20" s="22" t="n"/>
      <c r="R20" s="22" t="n"/>
      <c r="S20" s="22" t="n"/>
      <c r="T20" s="23" t="n"/>
    </row>
    <row r="21" ht="14" customHeight="1">
      <c r="B21" s="31" t="inlineStr">
        <is>
          <t>M* / φMbx</t>
        </is>
      </c>
      <c r="D21" s="32" t="inlineStr">
        <is>
          <t>Bending – gravity (top flange critical)</t>
        </is>
      </c>
      <c r="E21" s="38" cm="1">
        <f t="array" ref="E21">INDEX(_xlfn.ANCHORARRAY(Z8),1,2)</f>
        <v/>
      </c>
      <c r="F21" s="38" cm="1">
        <f t="array" ref="F21">INDEX(_xlfn.ANCHORARRAY(Z8),1,3)</f>
        <v/>
      </c>
      <c r="G21" s="34" t="inlineStr">
        <is>
          <t>kN·m</t>
        </is>
      </c>
      <c r="H21" s="19" t="inlineStr"/>
      <c r="I21" s="36">
        <f>IF(OR(E21="",N(F21)=0),"",ABS(E21)/F21)</f>
        <v/>
      </c>
      <c r="J21" s="37">
        <f>IF(I21="","–",IF(I21&lt;=1,"OK","NG"))</f>
        <v/>
      </c>
      <c r="M21" s="21" t="n"/>
      <c r="N21" s="22" t="n"/>
      <c r="O21" s="22" t="n"/>
      <c r="P21" s="22" t="n"/>
      <c r="Q21" s="22" t="n"/>
      <c r="R21" s="22" t="n"/>
      <c r="S21" s="22" t="n"/>
      <c r="T21" s="23" t="n"/>
    </row>
    <row r="22" ht="14" customHeight="1">
      <c r="B22" s="31" t="inlineStr">
        <is>
          <t>M* / φMbx</t>
        </is>
      </c>
      <c r="D22" s="32">
        <f>IF(NumUpliftCombos=0,"Bending – uplift (no uplift combinations)","Bending – uplift (bottom flange critical)")</f>
        <v/>
      </c>
      <c r="E22" s="38" cm="1">
        <f t="array" ref="E22">INDEX(_xlfn.ANCHORARRAY(Z8),2,2)</f>
        <v/>
      </c>
      <c r="F22" s="38" cm="1">
        <f t="array" ref="F22">INDEX(_xlfn.ANCHORARRAY(Z8),2,3)</f>
        <v/>
      </c>
      <c r="G22" s="34" t="inlineStr">
        <is>
          <t>kN·m</t>
        </is>
      </c>
      <c r="H22" s="19" t="inlineStr"/>
      <c r="I22" s="36">
        <f>IF(OR(E22="",N(F22)=0),"",ABS(E22)/F22)</f>
        <v/>
      </c>
      <c r="J22" s="37">
        <f>IF(I22="","–",IF(I22&lt;=1,"OK","NG"))</f>
        <v/>
      </c>
      <c r="M22" s="21" t="n"/>
      <c r="N22" s="22" t="n"/>
      <c r="O22" s="22" t="n"/>
      <c r="P22" s="22" t="n"/>
      <c r="Q22" s="22" t="n"/>
      <c r="R22" s="22" t="n"/>
      <c r="S22" s="22" t="n"/>
      <c r="T22" s="23" t="n"/>
    </row>
    <row r="23" ht="14" customHeight="1">
      <c r="B23" s="31" t="inlineStr">
        <is>
          <t>V* / φVv</t>
        </is>
      </c>
      <c r="D23" s="32" t="inlineStr">
        <is>
          <t>Shear</t>
        </is>
      </c>
      <c r="E23" s="38" cm="1">
        <f t="array" ref="E23">INDEX(_xlfn.ANCHORARRAY(Z8),3,2)</f>
        <v/>
      </c>
      <c r="F23" s="38" cm="1">
        <f t="array" ref="F23">INDEX(_xlfn.ANCHORARRAY(Z8),3,3)</f>
        <v/>
      </c>
      <c r="G23" s="34" t="inlineStr">
        <is>
          <t>kN</t>
        </is>
      </c>
      <c r="H23" s="19" t="inlineStr"/>
      <c r="I23" s="36">
        <f>IF(OR(E23="",N(F23)=0),"",ABS(E23)/F23)</f>
        <v/>
      </c>
      <c r="J23" s="37">
        <f>IF(I23="","–",IF(I23&lt;=1,"OK","NG"))</f>
        <v/>
      </c>
      <c r="M23" s="21" t="n"/>
      <c r="N23" s="22" t="n"/>
      <c r="O23" s="22" t="n"/>
      <c r="P23" s="22" t="n"/>
      <c r="Q23" s="22" t="n"/>
      <c r="R23" s="22" t="n"/>
      <c r="S23" s="22" t="n"/>
      <c r="T23" s="23" t="n"/>
    </row>
    <row r="24" ht="14" customHeight="1">
      <c r="M24" s="21" t="n"/>
      <c r="N24" s="22" t="n"/>
      <c r="O24" s="22" t="n"/>
      <c r="P24" s="22" t="n"/>
      <c r="Q24" s="22" t="n"/>
      <c r="R24" s="22" t="n"/>
      <c r="S24" s="22" t="n"/>
      <c r="T24" s="23" t="n"/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1" t="n"/>
      <c r="N25" s="22" t="n"/>
      <c r="O25" s="22" t="n"/>
      <c r="P25" s="22" t="n"/>
      <c r="Q25" s="22" t="n"/>
      <c r="R25" s="22" t="n"/>
      <c r="S25" s="22" t="n"/>
      <c r="T25" s="23" t="n"/>
    </row>
    <row r="26" ht="14" customHeight="1">
      <c r="B26" s="39" t="inlineStr">
        <is>
          <t>Section type</t>
        </is>
      </c>
      <c r="E26" s="2" t="inlineStr">
        <is>
          <t>UB</t>
        </is>
      </c>
      <c r="G26" s="40" t="inlineStr">
        <is>
          <t>Section properties (add-in)</t>
        </is>
      </c>
      <c r="M26" s="21" t="n"/>
      <c r="N26" s="22" t="n"/>
      <c r="O26" s="22" t="n"/>
      <c r="P26" s="22" t="n"/>
      <c r="Q26" s="22" t="n"/>
      <c r="R26" s="22" t="n"/>
      <c r="S26" s="22" t="n"/>
      <c r="T26" s="23" t="n"/>
    </row>
    <row r="27" ht="14" customHeight="1">
      <c r="B27" s="39" t="inlineStr">
        <is>
          <t>Section size</t>
        </is>
      </c>
      <c r="E27" s="2" t="inlineStr">
        <is>
          <t>310UB40.4</t>
        </is>
      </c>
      <c r="G27" s="41" t="inlineStr">
        <is>
          <t>Mass</t>
        </is>
      </c>
      <c r="H27" s="38" cm="1">
        <f t="array" ref="H27">OAR.SECTION(SectionSize,"Mass",Grade)</f>
        <v/>
      </c>
      <c r="I27" s="42" t="inlineStr">
        <is>
          <t>kg/m</t>
        </is>
      </c>
      <c r="M27" s="21" t="n"/>
      <c r="N27" s="22" t="n"/>
      <c r="O27" s="22" t="n"/>
      <c r="P27" s="22" t="n"/>
      <c r="Q27" s="22" t="n"/>
      <c r="R27" s="22" t="n"/>
      <c r="S27" s="22" t="n"/>
      <c r="T27" s="23" t="n"/>
    </row>
    <row r="28" ht="14" customHeight="1">
      <c r="B28" s="39" t="inlineStr">
        <is>
          <t>Steel grade</t>
        </is>
      </c>
      <c r="E28" s="43" t="n">
        <v>300</v>
      </c>
      <c r="F28" s="42" t="inlineStr">
        <is>
          <t>MPa</t>
        </is>
      </c>
      <c r="G28" s="41" t="inlineStr">
        <is>
          <t>Ix</t>
        </is>
      </c>
      <c r="H28" s="38" cm="1">
        <f t="array" ref="H28">OAR.SECTION(SectionSize,"Ix",Grade)</f>
        <v/>
      </c>
      <c r="I28" s="42" t="inlineStr">
        <is>
          <t>×10⁶ mm⁴</t>
        </is>
      </c>
      <c r="M28" s="21" t="n"/>
      <c r="N28" s="22" t="n"/>
      <c r="O28" s="22" t="n"/>
      <c r="P28" s="22" t="n"/>
      <c r="Q28" s="22" t="n"/>
      <c r="R28" s="22" t="n"/>
      <c r="S28" s="22" t="n"/>
      <c r="T28" s="23" t="n"/>
    </row>
    <row r="29" ht="14" customHeight="1">
      <c r="B29" s="39" t="inlineStr">
        <is>
          <t>Span (centre to centre of supports)</t>
        </is>
      </c>
      <c r="E29" s="44" t="n">
        <v>8300</v>
      </c>
      <c r="F29" s="42" t="inlineStr">
        <is>
          <t>mm</t>
        </is>
      </c>
      <c r="G29" s="41" t="inlineStr">
        <is>
          <t>Iy</t>
        </is>
      </c>
      <c r="H29" s="33" cm="1">
        <f t="array" ref="H29">OAR.SECTION(SectionSize,"Iy",Grade)</f>
        <v/>
      </c>
      <c r="I29" s="42" t="inlineStr">
        <is>
          <t>×10⁶ mm⁴</t>
        </is>
      </c>
      <c r="M29" s="21" t="n"/>
      <c r="N29" s="22" t="n"/>
      <c r="O29" s="22" t="n"/>
      <c r="P29" s="22" t="n"/>
      <c r="Q29" s="22" t="n"/>
      <c r="R29" s="22" t="n"/>
      <c r="S29" s="22" t="n"/>
      <c r="T29" s="23" t="n"/>
    </row>
    <row r="30" ht="14" customHeight="1">
      <c r="B30" s="39" t="inlineStr">
        <is>
          <t>Support condition</t>
        </is>
      </c>
      <c r="E30" s="5" t="inlineStr">
        <is>
          <t>Simply supported</t>
        </is>
      </c>
      <c r="F30" s="45" t="n"/>
      <c r="G30" s="41" t="inlineStr">
        <is>
          <t>J</t>
        </is>
      </c>
      <c r="H30" s="38" cm="1">
        <f t="array" ref="H30">OAR.SECTION(SectionSize,"J",Grade)</f>
        <v/>
      </c>
      <c r="I30" s="42" t="inlineStr">
        <is>
          <t>×10³ mm⁴</t>
        </is>
      </c>
      <c r="M30" s="21" t="n"/>
      <c r="N30" s="22" t="n"/>
      <c r="O30" s="22" t="n"/>
      <c r="P30" s="22" t="n"/>
      <c r="Q30" s="22" t="n"/>
      <c r="R30" s="22" t="n"/>
      <c r="S30" s="22" t="n"/>
      <c r="T30" s="23" t="n"/>
    </row>
    <row r="31" ht="14" customHeight="1">
      <c r="B31" s="39" t="inlineStr">
        <is>
          <t>Elastic modulus</t>
        </is>
      </c>
      <c r="E31" s="44" t="n">
        <v>200000</v>
      </c>
      <c r="F31" s="42" t="inlineStr">
        <is>
          <t>MPa</t>
        </is>
      </c>
      <c r="G31" s="41" t="inlineStr">
        <is>
          <t>Iw</t>
        </is>
      </c>
      <c r="H31" s="38" cm="1">
        <f t="array" ref="H31">OAR.SECTION(SectionSize,"Iw",Grade)</f>
        <v/>
      </c>
      <c r="I31" s="42" t="inlineStr">
        <is>
          <t>×10⁹ mm⁶</t>
        </is>
      </c>
      <c r="M31" s="21" t="n"/>
      <c r="N31" s="22" t="n"/>
      <c r="O31" s="22" t="n"/>
      <c r="P31" s="22" t="n"/>
      <c r="Q31" s="22" t="n"/>
      <c r="R31" s="22" t="n"/>
      <c r="S31" s="22" t="n"/>
      <c r="T31" s="23" t="n"/>
    </row>
    <row r="32" ht="14" customHeight="1">
      <c r="B32" s="39" t="inlineStr">
        <is>
          <t>Include self-weight</t>
        </is>
      </c>
      <c r="E32" s="2" t="inlineStr">
        <is>
          <t>Yes</t>
        </is>
      </c>
      <c r="G32" s="41" t="inlineStr">
        <is>
          <t>Zex</t>
        </is>
      </c>
      <c r="H32" s="46" cm="1">
        <f t="array" ref="H32">OAR.SECTION(SectionSize,"Ze",Grade)</f>
        <v/>
      </c>
      <c r="I32" s="42" t="inlineStr">
        <is>
          <t>×10³ mm³</t>
        </is>
      </c>
      <c r="M32" s="21" t="n"/>
      <c r="N32" s="22" t="n"/>
      <c r="O32" s="22" t="n"/>
      <c r="P32" s="22" t="n"/>
      <c r="Q32" s="22" t="n"/>
      <c r="R32" s="22" t="n"/>
      <c r="S32" s="22" t="n"/>
      <c r="T32" s="23" t="n"/>
    </row>
    <row r="33" ht="14" customHeight="1">
      <c r="G33" s="41" t="inlineStr">
        <is>
          <t>φMsx</t>
        </is>
      </c>
      <c r="H33" s="38" cm="1">
        <f t="array" ref="H33">OAR.SECTION(SectionSize,"phiMsx",Grade)</f>
        <v/>
      </c>
      <c r="I33" s="42" t="inlineStr">
        <is>
          <t>kN·m</t>
        </is>
      </c>
      <c r="M33" s="21" t="n"/>
      <c r="N33" s="22" t="n"/>
      <c r="O33" s="22" t="n"/>
      <c r="P33" s="22" t="n"/>
      <c r="Q33" s="22" t="n"/>
      <c r="R33" s="22" t="n"/>
      <c r="S33" s="22" t="n"/>
      <c r="T33" s="23" t="n"/>
    </row>
    <row r="34" ht="14" customHeight="1">
      <c r="M34" s="21" t="n"/>
      <c r="N34" s="22" t="n"/>
      <c r="O34" s="22" t="n"/>
      <c r="P34" s="22" t="n"/>
      <c r="Q34" s="22" t="n"/>
      <c r="R34" s="22" t="n"/>
      <c r="S34" s="22" t="n"/>
      <c r="T34" s="23" t="n"/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1" t="n"/>
      <c r="N35" s="22" t="n"/>
      <c r="O35" s="22" t="n"/>
      <c r="P35" s="22" t="n"/>
      <c r="Q35" s="22" t="n"/>
      <c r="R35" s="22" t="n"/>
      <c r="S35" s="22" t="n"/>
      <c r="T35" s="23" t="n"/>
    </row>
    <row r="36" ht="14" customHeight="1">
      <c r="B36" s="47" t="inlineStr">
        <is>
          <t>Case</t>
        </is>
      </c>
      <c r="C36" s="45" t="n"/>
      <c r="D36" s="47" t="inlineStr">
        <is>
          <t>Description</t>
        </is>
      </c>
      <c r="E36" s="47" t="inlineStr">
        <is>
          <t xml:space="preserve">Span / </t>
        </is>
      </c>
      <c r="F36" s="47" t="inlineStr">
        <is>
          <t>Max (mm)</t>
        </is>
      </c>
      <c r="G36" s="47" t="inlineStr">
        <is>
          <t>Factor</t>
        </is>
      </c>
      <c r="M36" s="21" t="n"/>
      <c r="N36" s="22" t="n"/>
      <c r="O36" s="22" t="n"/>
      <c r="P36" s="22" t="n"/>
      <c r="Q36" s="22" t="n"/>
      <c r="R36" s="22" t="n"/>
      <c r="S36" s="22" t="n"/>
      <c r="T36" s="23" t="n"/>
    </row>
    <row r="37" ht="14" customHeight="1">
      <c r="B37" s="48" t="inlineStr">
        <is>
          <t>Δg</t>
        </is>
      </c>
      <c r="C37" s="49" t="n"/>
      <c r="D37" s="50" t="inlineStr">
        <is>
          <t>Dead load</t>
        </is>
      </c>
      <c r="E37" s="43" t="n">
        <v>500</v>
      </c>
      <c r="F37" s="51" t="n">
        <v>20</v>
      </c>
      <c r="G37" s="52" t="inlineStr">
        <is>
          <t>–</t>
        </is>
      </c>
      <c r="H37" s="6" t="inlineStr">
        <is>
          <t>Limit = lesser of L/ratio and max</t>
        </is>
      </c>
      <c r="M37" s="21" t="n"/>
      <c r="N37" s="22" t="n"/>
      <c r="O37" s="22" t="n"/>
      <c r="P37" s="22" t="n"/>
      <c r="Q37" s="22" t="n"/>
      <c r="R37" s="22" t="n"/>
      <c r="S37" s="22" t="n"/>
      <c r="T37" s="23" t="n"/>
    </row>
    <row r="38" ht="14" customHeight="1">
      <c r="B38" s="48" t="inlineStr">
        <is>
          <t>Δg+ψl·q</t>
        </is>
      </c>
      <c r="C38" s="49" t="n"/>
      <c r="D38" s="50" t="inlineStr">
        <is>
          <t>Long term (ψl)</t>
        </is>
      </c>
      <c r="E38" s="43" t="n">
        <v>360</v>
      </c>
      <c r="F38" s="51" t="n">
        <v>25</v>
      </c>
      <c r="G38" s="51" t="n">
        <v>0.4</v>
      </c>
      <c r="H38" s="6" t="inlineStr">
        <is>
          <t>Blank max = ratio only</t>
        </is>
      </c>
      <c r="M38" s="21" t="n"/>
      <c r="N38" s="22" t="n"/>
      <c r="O38" s="22" t="n"/>
      <c r="P38" s="22" t="n"/>
      <c r="Q38" s="22" t="n"/>
      <c r="R38" s="22" t="n"/>
      <c r="S38" s="22" t="n"/>
      <c r="T38" s="23" t="n"/>
    </row>
    <row r="39" ht="14" customHeight="1">
      <c r="B39" s="48" t="inlineStr">
        <is>
          <t>Δg+ψs·q</t>
        </is>
      </c>
      <c r="C39" s="49" t="n"/>
      <c r="D39" s="50" t="inlineStr">
        <is>
          <t>Short term (ψs)</t>
        </is>
      </c>
      <c r="E39" s="43" t="n">
        <v>300</v>
      </c>
      <c r="F39" s="51" t="n">
        <v>30</v>
      </c>
      <c r="G39" s="51" t="n">
        <v>0.7</v>
      </c>
      <c r="M39" s="21" t="n"/>
      <c r="N39" s="22" t="n"/>
      <c r="O39" s="22" t="n"/>
      <c r="P39" s="22" t="n"/>
      <c r="Q39" s="22" t="n"/>
      <c r="R39" s="22" t="n"/>
      <c r="S39" s="22" t="n"/>
      <c r="T39" s="23" t="n"/>
    </row>
    <row r="40" ht="14" customHeight="1">
      <c r="B40" s="48" t="inlineStr">
        <is>
          <t>Δq</t>
        </is>
      </c>
      <c r="C40" s="49" t="n"/>
      <c r="D40" s="50" t="inlineStr">
        <is>
          <t>Live load only</t>
        </is>
      </c>
      <c r="E40" s="43" t="n">
        <v>250</v>
      </c>
      <c r="F40" s="51" t="n">
        <v>30</v>
      </c>
      <c r="G40" s="52" t="inlineStr">
        <is>
          <t>–</t>
        </is>
      </c>
      <c r="M40" s="53" t="n"/>
      <c r="N40" s="54" t="n"/>
      <c r="O40" s="54" t="n"/>
      <c r="P40" s="54" t="n"/>
      <c r="Q40" s="54" t="n"/>
      <c r="R40" s="54" t="n"/>
      <c r="S40" s="54" t="n"/>
      <c r="T40" s="55" t="n"/>
    </row>
    <row r="41" ht="14" customHeight="1">
      <c r="B41" s="48" t="inlineStr">
        <is>
          <t>Δ1kN</t>
        </is>
      </c>
      <c r="C41" s="49" t="n"/>
      <c r="D41" s="50" t="inlineStr">
        <is>
          <t>1 kN point load at midspan</t>
        </is>
      </c>
      <c r="E41" s="43" t="n">
        <v>1000</v>
      </c>
      <c r="F41" s="51" t="n">
        <v>1.5</v>
      </c>
      <c r="G41" s="52" t="inlineStr">
        <is>
          <t>–</t>
        </is>
      </c>
    </row>
    <row r="42" ht="14" customHeight="1"/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</row>
    <row r="46" ht="26" customHeight="1">
      <c r="B46" s="56" t="inlineStr">
        <is>
          <t>Case</t>
        </is>
      </c>
      <c r="C46" s="56" t="inlineStr">
        <is>
          <t>Type</t>
        </is>
      </c>
      <c r="D46" s="56" t="inlineStr">
        <is>
          <t>Description</t>
        </is>
      </c>
      <c r="E46" s="56" t="inlineStr">
        <is>
          <t>Trib (m | m²)</t>
        </is>
      </c>
      <c r="F46" s="56" t="inlineStr">
        <is>
          <t>Press. (kPa)</t>
        </is>
      </c>
      <c r="G46" s="56" t="inlineStr">
        <is>
          <t>+ Direct (kN/m | kN)</t>
        </is>
      </c>
      <c r="H46" s="56" t="inlineStr">
        <is>
          <t>Start (mm)</t>
        </is>
      </c>
      <c r="I46" s="56" t="inlineStr">
        <is>
          <t>End (mm)</t>
        </is>
      </c>
      <c r="J46" s="56" t="inlineStr">
        <is>
          <t>Load</t>
        </is>
      </c>
      <c r="M46" s="28" t="inlineStr">
        <is>
          <t>Include</t>
        </is>
      </c>
      <c r="N46" s="28" t="inlineStr">
        <is>
          <t>Active</t>
        </is>
      </c>
      <c r="O46" s="28" t="inlineStr">
        <is>
          <t>Group</t>
        </is>
      </c>
      <c r="P46" s="28" t="inlineStr">
        <is>
          <t>ID</t>
        </is>
      </c>
      <c r="Q46" s="28" t="inlineStr">
        <is>
          <t>Crit. flange</t>
        </is>
      </c>
      <c r="R46" s="28" t="inlineStr">
        <is>
          <t>Combination</t>
        </is>
      </c>
      <c r="S46" s="28" t="inlineStr">
        <is>
          <t>G</t>
        </is>
      </c>
      <c r="T46" s="28" t="inlineStr">
        <is>
          <t>Q</t>
        </is>
      </c>
      <c r="U46" s="28" t="inlineStr">
        <is>
          <t>Wd</t>
        </is>
      </c>
      <c r="V46" s="28" t="inlineStr">
        <is>
          <t>Wu</t>
        </is>
      </c>
      <c r="W46" s="28" t="inlineStr">
        <is>
          <t>Wid</t>
        </is>
      </c>
      <c r="X46" s="28" t="inlineStr">
        <is>
          <t>Wiu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57" t="n">
        <v>5.65</v>
      </c>
      <c r="F47" s="58" t="n">
        <v>0.1</v>
      </c>
      <c r="G47" s="58" t="n"/>
      <c r="H47" s="44" t="n"/>
      <c r="I47" s="44" t="n"/>
      <c r="J47" s="59">
        <f>IF(B47="","",N(E47)*N(F47)+N(G47))</f>
        <v/>
      </c>
      <c r="M47" s="2" t="n"/>
      <c r="N47" s="60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58" t="n">
        <v>1.35</v>
      </c>
      <c r="T47" s="58" t="n">
        <v>0</v>
      </c>
      <c r="U47" s="58" t="n">
        <v>0</v>
      </c>
      <c r="V47" s="58" t="n">
        <v>0</v>
      </c>
      <c r="W47" s="58" t="n">
        <v>0</v>
      </c>
      <c r="X47" s="58" t="n">
        <v>0</v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57" t="n">
        <v>5.65</v>
      </c>
      <c r="F48" s="58" t="n">
        <v>0.15</v>
      </c>
      <c r="G48" s="58" t="n"/>
      <c r="H48" s="44" t="n"/>
      <c r="I48" s="44" t="n"/>
      <c r="J48" s="59">
        <f>IF(B48="","",N(E48)*N(F48)+N(G48))</f>
        <v/>
      </c>
      <c r="M48" s="2" t="n"/>
      <c r="N48" s="60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58" t="n">
        <v>1.2</v>
      </c>
      <c r="T48" s="58" t="n">
        <v>1.5</v>
      </c>
      <c r="U48" s="58" t="n">
        <v>0</v>
      </c>
      <c r="V48" s="58" t="n">
        <v>0</v>
      </c>
      <c r="W48" s="58" t="n">
        <v>0</v>
      </c>
      <c r="X48" s="58" t="n">
        <v>0</v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57" t="n"/>
      <c r="F49" s="58" t="n"/>
      <c r="G49" s="58" t="n">
        <v>0.05</v>
      </c>
      <c r="H49" s="44" t="n"/>
      <c r="I49" s="44" t="n"/>
      <c r="J49" s="59">
        <f>IF(B49="","",N(E49)*N(F49)+N(G49))</f>
        <v/>
      </c>
      <c r="M49" s="2" t="n"/>
      <c r="N49" s="60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58" t="n">
        <v>1.2</v>
      </c>
      <c r="T49" s="58">
        <f>1.5*PsiL</f>
        <v/>
      </c>
      <c r="U49" s="58" t="n">
        <v>0</v>
      </c>
      <c r="V49" s="58" t="n">
        <v>0</v>
      </c>
      <c r="W49" s="58" t="n">
        <v>0</v>
      </c>
      <c r="X49" s="58" t="n">
        <v>0</v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live (non-trafficable)</t>
        </is>
      </c>
      <c r="E50" s="57" t="n">
        <v>5.65</v>
      </c>
      <c r="F50" s="58" t="n">
        <v>0.25</v>
      </c>
      <c r="G50" s="58" t="n"/>
      <c r="H50" s="44" t="n"/>
      <c r="I50" s="44" t="n"/>
      <c r="J50" s="59">
        <f>IF(B50="","",N(E50)*N(F50)+N(G50))</f>
        <v/>
      </c>
      <c r="M50" s="2" t="n"/>
      <c r="N50" s="60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58" t="n">
        <v>1.2</v>
      </c>
      <c r="T50" s="58">
        <f>PsiC</f>
        <v/>
      </c>
      <c r="U50" s="58" t="n">
        <v>1</v>
      </c>
      <c r="V50" s="58" t="n">
        <v>0</v>
      </c>
      <c r="W50" s="58" t="n">
        <v>1</v>
      </c>
      <c r="X50" s="58" t="n">
        <v>0</v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57" t="n">
        <v>5.65</v>
      </c>
      <c r="F51" s="58" t="n">
        <v>1.72</v>
      </c>
      <c r="G51" s="58" t="n"/>
      <c r="H51" s="44" t="n"/>
      <c r="I51" s="44" t="n"/>
      <c r="J51" s="59">
        <f>IF(B51="","",N(E51)*N(F51)+N(G51))</f>
        <v/>
      </c>
      <c r="M51" s="2" t="n"/>
      <c r="N51" s="60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58" t="n">
        <v>0.9</v>
      </c>
      <c r="T51" s="58" t="n">
        <v>0</v>
      </c>
      <c r="U51" s="58" t="n">
        <v>0</v>
      </c>
      <c r="V51" s="58" t="n">
        <v>1</v>
      </c>
      <c r="W51" s="58" t="n">
        <v>0</v>
      </c>
      <c r="X51" s="58" t="n">
        <v>1</v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57" t="n">
        <v>5.65</v>
      </c>
      <c r="F52" s="58" t="n">
        <v>0</v>
      </c>
      <c r="G52" s="58" t="n"/>
      <c r="H52" s="44" t="n"/>
      <c r="I52" s="44" t="n"/>
      <c r="J52" s="59">
        <f>IF(B52="","",N(E52)*N(F52)+N(G52))</f>
        <v/>
      </c>
      <c r="M52" s="2" t="n"/>
      <c r="N52" s="60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58" t="n"/>
      <c r="T52" s="58" t="n"/>
      <c r="U52" s="58" t="n"/>
      <c r="V52" s="58" t="n"/>
      <c r="W52" s="58" t="n"/>
      <c r="X52" s="58" t="n"/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57" t="n">
        <v>5.65</v>
      </c>
      <c r="F53" s="58" t="n">
        <v>0</v>
      </c>
      <c r="G53" s="58" t="n"/>
      <c r="H53" s="44" t="n"/>
      <c r="I53" s="44" t="n"/>
      <c r="J53" s="59">
        <f>IF(B53="","",N(E53)*N(F53)+N(G53))</f>
        <v/>
      </c>
      <c r="M53" s="2" t="n"/>
      <c r="N53" s="60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58" t="n"/>
      <c r="T53" s="58" t="n"/>
      <c r="U53" s="58" t="n"/>
      <c r="V53" s="58" t="n"/>
      <c r="W53" s="58" t="n"/>
      <c r="X53" s="58" t="n"/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57" t="n">
        <v>5.65</v>
      </c>
      <c r="F54" s="58" t="n">
        <v>0</v>
      </c>
      <c r="G54" s="58" t="n"/>
      <c r="H54" s="44" t="n"/>
      <c r="I54" s="44" t="n"/>
      <c r="J54" s="59">
        <f>IF(B54="","",N(E54)*N(F54)+N(G54))</f>
        <v/>
      </c>
      <c r="M54" s="2" t="n"/>
      <c r="N54" s="60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58" t="n"/>
      <c r="T54" s="58" t="n"/>
      <c r="U54" s="58" t="n"/>
      <c r="V54" s="58" t="n"/>
      <c r="W54" s="58" t="n"/>
      <c r="X54" s="58" t="n"/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57" t="n">
        <v>1.5</v>
      </c>
      <c r="F55" s="58" t="n">
        <v>0.5</v>
      </c>
      <c r="G55" s="58" t="n">
        <v>2</v>
      </c>
      <c r="H55" s="44" t="n">
        <v>4150</v>
      </c>
      <c r="I55" s="44" t="n"/>
      <c r="J55" s="59">
        <f>IF(B55="","",N(E55)*N(F55)+N(G55))</f>
        <v/>
      </c>
    </row>
    <row r="56" ht="14" customHeight="1">
      <c r="B56" s="2" t="n"/>
      <c r="C56" s="2" t="n"/>
      <c r="D56" s="5" t="n"/>
      <c r="E56" s="57" t="n"/>
      <c r="F56" s="58" t="n"/>
      <c r="G56" s="58" t="n"/>
      <c r="H56" s="44" t="n"/>
      <c r="I56" s="44" t="n"/>
      <c r="J56" s="59">
        <f>IF(B56="","",N(E56)*N(F56)+N(G56))</f>
        <v/>
      </c>
      <c r="R56" s="1" t="inlineStr">
        <is>
          <t>Active uplift (bottom flange) combinations:</t>
        </is>
      </c>
      <c r="S56" s="46">
        <f>COUNTIFS(CombLib_B1[Active],1,CombLib_B1[Crit. flange],"Bottom")</f>
        <v/>
      </c>
    </row>
    <row r="57" ht="14" customHeight="1">
      <c r="B57" s="2" t="n"/>
      <c r="C57" s="2" t="n"/>
      <c r="D57" s="5" t="n"/>
      <c r="E57" s="57" t="n"/>
      <c r="F57" s="58" t="n"/>
      <c r="G57" s="58" t="n"/>
      <c r="H57" s="44" t="n"/>
      <c r="I57" s="44" t="n"/>
      <c r="J57" s="59">
        <f>IF(B57="","",N(E57)*N(F57)+N(G57))</f>
        <v/>
      </c>
    </row>
    <row r="58" ht="14" customHeight="1"/>
    <row r="59" ht="14" customHeight="1">
      <c r="E59" s="47" t="inlineStr">
        <is>
          <t>G</t>
        </is>
      </c>
      <c r="F59" s="47" t="inlineStr">
        <is>
          <t>Q</t>
        </is>
      </c>
      <c r="G59" s="47" t="inlineStr">
        <is>
          <t>Wd</t>
        </is>
      </c>
      <c r="H59" s="47" t="inlineStr">
        <is>
          <t>Wu</t>
        </is>
      </c>
      <c r="I59" s="47" t="inlineStr">
        <is>
          <t>Wid</t>
        </is>
      </c>
      <c r="J59" s="47" t="inlineStr">
        <is>
          <t>Wiu</t>
        </is>
      </c>
    </row>
    <row r="60" ht="14" customHeight="1">
      <c r="B60" s="40" t="inlineStr">
        <is>
          <t>Full-span UDL totals (excl. self-weight):</t>
        </is>
      </c>
      <c r="E60" s="59">
        <f>SUMIFS(Loads_B1[Load],Loads_B1[Case],"G",Loads_B1[Type],"UDL")</f>
        <v/>
      </c>
      <c r="F60" s="59">
        <f>SUMIFS(Loads_B1[Load],Loads_B1[Case],"Q",Loads_B1[Type],"UDL")</f>
        <v/>
      </c>
      <c r="G60" s="59">
        <f>SUMIFS(Loads_B1[Load],Loads_B1[Case],"Wd",Loads_B1[Type],"UDL")</f>
        <v/>
      </c>
      <c r="H60" s="59">
        <f>SUMIFS(Loads_B1[Load],Loads_B1[Case],"Wu",Loads_B1[Type],"UDL")</f>
        <v/>
      </c>
      <c r="I60" s="59">
        <f>SUMIFS(Loads_B1[Load],Loads_B1[Case],"Wid",Loads_B1[Type],"UDL")</f>
        <v/>
      </c>
      <c r="J60" s="59">
        <f>SUMIFS(Loads_B1[Load],Loads_B1[Case],"Wiu",Loads_B1[Type],"UDL")</f>
        <v/>
      </c>
    </row>
    <row r="61" ht="14" customHeight="1"/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</row>
    <row r="63" ht="14" customHeight="1">
      <c r="B63" s="39" t="inlineStr">
        <is>
          <t>Combination set</t>
        </is>
      </c>
      <c r="E63" s="2" t="inlineStr">
        <is>
          <t>Roof</t>
        </is>
      </c>
      <c r="F63" s="41" t="inlineStr">
        <is>
          <t>ψc</t>
        </is>
      </c>
      <c r="G63" s="51" t="n">
        <v>0.4</v>
      </c>
      <c r="H63" s="6" t="inlineStr">
        <is>
          <t>Table 4.1 (roofs 0.0)</t>
        </is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</row>
    <row r="65" ht="14" customHeight="1">
      <c r="B65" s="28" t="inlineStr">
        <is>
          <t>ID</t>
        </is>
      </c>
      <c r="C65" s="28" t="inlineStr">
        <is>
          <t>Crit. flange</t>
        </is>
      </c>
      <c r="D65" s="28" t="inlineStr">
        <is>
          <t>Combination</t>
        </is>
      </c>
      <c r="E65" s="28" t="inlineStr">
        <is>
          <t>G</t>
        </is>
      </c>
      <c r="F65" s="28" t="inlineStr">
        <is>
          <t>Q</t>
        </is>
      </c>
      <c r="G65" s="28" t="inlineStr">
        <is>
          <t>Wd</t>
        </is>
      </c>
      <c r="H65" s="28" t="inlineStr">
        <is>
          <t>Wu</t>
        </is>
      </c>
      <c r="I65" s="28" t="inlineStr">
        <is>
          <t>Wid</t>
        </is>
      </c>
      <c r="J65" s="28" t="inlineStr">
        <is>
          <t>Wiu</t>
        </is>
      </c>
    </row>
    <row r="66" ht="14" customHeight="1">
      <c r="B66" s="31" cm="1">
        <f t="array" ref="B66">_xlfn._xlws.FILTER(CombLib_B1[[ID]:[Wiu]],CombLib_B1[Active]=1,"No combinations selected")</f>
        <v/>
      </c>
      <c r="C66" s="31" t="n"/>
      <c r="D66" s="39" t="n"/>
      <c r="E66" s="61" t="n"/>
      <c r="F66" s="61" t="n"/>
      <c r="G66" s="61" t="n"/>
      <c r="H66" s="61" t="n"/>
      <c r="I66" s="61" t="n"/>
      <c r="J66" s="61" t="n"/>
    </row>
    <row r="67" ht="14" customHeight="1">
      <c r="B67" s="31" t="n"/>
      <c r="C67" s="31" t="n"/>
      <c r="D67" s="39" t="n"/>
      <c r="E67" s="61" t="n"/>
      <c r="F67" s="61" t="n"/>
      <c r="G67" s="61" t="n"/>
      <c r="H67" s="61" t="n"/>
      <c r="I67" s="61" t="n"/>
      <c r="J67" s="61" t="n"/>
    </row>
    <row r="68" ht="14" customHeight="1">
      <c r="B68" s="31" t="n"/>
      <c r="C68" s="31" t="n"/>
      <c r="D68" s="39" t="n"/>
      <c r="E68" s="61" t="n"/>
      <c r="F68" s="61" t="n"/>
      <c r="G68" s="61" t="n"/>
      <c r="H68" s="61" t="n"/>
      <c r="I68" s="61" t="n"/>
      <c r="J68" s="61" t="n"/>
    </row>
    <row r="69" ht="14" customHeight="1">
      <c r="B69" s="31" t="n"/>
      <c r="C69" s="31" t="n"/>
      <c r="D69" s="39" t="n"/>
      <c r="E69" s="61" t="n"/>
      <c r="F69" s="61" t="n"/>
      <c r="G69" s="61" t="n"/>
      <c r="H69" s="61" t="n"/>
      <c r="I69" s="61" t="n"/>
      <c r="J69" s="61" t="n"/>
    </row>
    <row r="70" ht="14" customHeight="1">
      <c r="B70" s="31" t="n"/>
      <c r="C70" s="31" t="n"/>
      <c r="D70" s="39" t="n"/>
      <c r="E70" s="61" t="n"/>
      <c r="F70" s="61" t="n"/>
      <c r="G70" s="61" t="n"/>
      <c r="H70" s="61" t="n"/>
      <c r="I70" s="61" t="n"/>
      <c r="J70" s="61" t="n"/>
    </row>
    <row r="71" ht="14" customHeight="1">
      <c r="B71" s="31" t="n"/>
      <c r="C71" s="31" t="n"/>
      <c r="D71" s="39" t="n"/>
      <c r="E71" s="61" t="n"/>
      <c r="F71" s="61" t="n"/>
      <c r="G71" s="61" t="n"/>
      <c r="H71" s="61" t="n"/>
      <c r="I71" s="61" t="n"/>
      <c r="J71" s="61" t="n"/>
    </row>
    <row r="72" ht="14" customHeight="1">
      <c r="B72" s="31" t="n"/>
      <c r="C72" s="31" t="n"/>
      <c r="D72" s="39" t="n"/>
      <c r="E72" s="61" t="n"/>
      <c r="F72" s="61" t="n"/>
      <c r="G72" s="61" t="n"/>
      <c r="H72" s="61" t="n"/>
      <c r="I72" s="61" t="n"/>
      <c r="J72" s="61" t="n"/>
    </row>
    <row r="73" ht="14" customHeight="1">
      <c r="B73" s="31" t="n"/>
      <c r="C73" s="31" t="n"/>
      <c r="D73" s="39" t="n"/>
      <c r="E73" s="61" t="n"/>
      <c r="F73" s="61" t="n"/>
      <c r="G73" s="61" t="n"/>
      <c r="H73" s="61" t="n"/>
      <c r="I73" s="61" t="n"/>
      <c r="J73" s="61" t="n"/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</row>
    <row r="75" ht="14" customHeight="1">
      <c r="B75" s="15" t="inlineStr">
        <is>
          <t>Restraint type at each cross-section for the critical flange: F, P, L or U (– = none). Supports must be F or P.</t>
        </is>
      </c>
    </row>
    <row r="76" ht="14" customHeight="1">
      <c r="B76" s="28" t="inlineStr">
        <is>
          <t>x (mm)</t>
        </is>
      </c>
      <c r="C76" s="28" t="inlineStr">
        <is>
          <t>Ref</t>
        </is>
      </c>
      <c r="D76" s="28" t="inlineStr">
        <is>
          <t>Restraint provided by</t>
        </is>
      </c>
      <c r="E76" s="28" t="inlineStr">
        <is>
          <t>Top flange</t>
        </is>
      </c>
      <c r="F76" s="28" t="inlineStr">
        <is>
          <t>Bottom fl.</t>
        </is>
      </c>
      <c r="G76" s="28" t="inlineStr">
        <is>
          <t>αm override</t>
        </is>
      </c>
      <c r="H76" s="28" t="inlineStr">
        <is>
          <t>Factor</t>
        </is>
      </c>
      <c r="I76" s="28" t="inlineStr">
        <is>
          <t>Top</t>
        </is>
      </c>
      <c r="J76" s="28" t="inlineStr">
        <is>
          <t>Bottom</t>
        </is>
      </c>
    </row>
    <row r="77" ht="14" customHeight="1">
      <c r="B77" s="62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58" t="n"/>
      <c r="H77" s="31" t="inlineStr">
        <is>
          <t>kl</t>
        </is>
      </c>
      <c r="I77" s="58" t="n">
        <v>1.4</v>
      </c>
      <c r="J77" s="58" t="n">
        <v>1</v>
      </c>
    </row>
    <row r="78" ht="14" customHeight="1">
      <c r="B78" s="44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58" t="n"/>
      <c r="H78" s="31" t="inlineStr">
        <is>
          <t>kr</t>
        </is>
      </c>
      <c r="I78" s="58" t="n">
        <v>1</v>
      </c>
      <c r="J78" s="58" t="n">
        <v>1</v>
      </c>
    </row>
    <row r="79" ht="14" customHeight="1">
      <c r="B79" s="44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58" t="n"/>
      <c r="H79" s="15" t="inlineStr">
        <is>
          <t>kt from restraint</t>
        </is>
      </c>
    </row>
    <row r="80" ht="14" customHeight="1">
      <c r="B80" s="62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58" t="n"/>
      <c r="H80" s="15" t="inlineStr">
        <is>
          <t>types (add-in)</t>
        </is>
      </c>
    </row>
    <row r="81" ht="14" customHeight="1">
      <c r="B81" s="44" t="n"/>
      <c r="C81" s="2" t="n"/>
      <c r="D81" s="5" t="n"/>
      <c r="E81" s="2" t="n"/>
      <c r="F81" s="2" t="n"/>
      <c r="G81" s="58" t="n"/>
    </row>
    <row r="82" ht="14" customHeight="1">
      <c r="B82" s="15" t="inlineStr">
        <is>
          <t>αm override applies to the segment starting at that row (blank = Cl. 5.6.1.1(a)(iii)); flagged * in the output.</t>
        </is>
      </c>
    </row>
    <row r="83" ht="14" customHeight="1"/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</row>
    <row r="85" ht="14" customHeight="1">
      <c r="B85" s="56" t="inlineStr">
        <is>
          <t>Case</t>
        </is>
      </c>
      <c r="C85" s="56" t="inlineStr">
        <is>
          <t>Δ max (mm)</t>
        </is>
      </c>
      <c r="D85" s="56" t="inlineStr">
        <is>
          <t>at x (mm)</t>
        </is>
      </c>
      <c r="E85" s="56" t="inlineStr">
        <is>
          <t>Limit (mm)</t>
        </is>
      </c>
      <c r="F85" s="56" t="inlineStr">
        <is>
          <t>L / Δ</t>
        </is>
      </c>
      <c r="G85" s="56" t="inlineStr">
        <is>
          <t>Utilisation</t>
        </is>
      </c>
    </row>
    <row r="86" ht="14" customHeight="1">
      <c r="B86" s="31" cm="1">
        <f t="array" ref="B86">OAR.SLS(SectionSize,Span,E_mod,IncludeSW,Loads_B1[[Case]:[End (mm)]],$E$37:$F$41,PsiL,PsiS)</f>
        <v/>
      </c>
      <c r="C86" s="61" t="n"/>
      <c r="D86" s="63" t="n"/>
      <c r="E86" s="61" t="n"/>
      <c r="F86" s="64" t="n"/>
      <c r="G86" s="65" t="n"/>
      <c r="H86" s="6" t="inlineStr">
        <is>
          <t>Δ1kN: 1 kN at midspan,</t>
        </is>
      </c>
    </row>
    <row r="87" ht="14" customHeight="1">
      <c r="B87" s="31" t="n"/>
      <c r="C87" s="61" t="n"/>
      <c r="D87" s="63" t="n"/>
      <c r="E87" s="61" t="n"/>
      <c r="F87" s="64" t="n"/>
      <c r="G87" s="65" t="n"/>
      <c r="H87" s="6" t="inlineStr">
        <is>
          <t>beam alone</t>
        </is>
      </c>
    </row>
    <row r="88" ht="14" customHeight="1">
      <c r="B88" s="31" t="n"/>
      <c r="C88" s="61" t="n"/>
      <c r="D88" s="63" t="n"/>
      <c r="E88" s="61" t="n"/>
      <c r="F88" s="64" t="n"/>
      <c r="G88" s="65" t="n"/>
    </row>
    <row r="89" ht="14" customHeight="1">
      <c r="B89" s="31" t="n"/>
      <c r="C89" s="61" t="n"/>
      <c r="D89" s="63" t="n"/>
      <c r="E89" s="61" t="n"/>
      <c r="F89" s="64" t="n"/>
      <c r="G89" s="65" t="n"/>
    </row>
    <row r="90" ht="14" customHeight="1">
      <c r="B90" s="31" t="n"/>
      <c r="C90" s="61" t="n"/>
      <c r="D90" s="63" t="n"/>
      <c r="E90" s="61" t="n"/>
      <c r="F90" s="64" t="n"/>
      <c r="G90" s="65" t="n"/>
    </row>
    <row r="91" ht="14" customHeight="1"/>
    <row r="92" ht="14" customHeight="1">
      <c r="B92" s="66" t="inlineStr">
        <is>
          <t>Deflected shapes (mm, plotted downward;  x in m)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6" t="inlineStr">
        <is>
          <t>Bending moment envelope (kN·m, sagging down;  x in m)</t>
        </is>
      </c>
      <c r="F106" s="66" t="inlineStr">
        <is>
          <t>Shear force envelope (kN;  x in m)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6" customHeight="1">
      <c r="B121" s="56" t="inlineStr">
        <is>
          <t>Combo</t>
        </is>
      </c>
      <c r="C121" s="56" t="inlineStr">
        <is>
          <t>Segment (m)</t>
        </is>
      </c>
      <c r="D121" s="56" t="inlineStr">
        <is>
          <t>Ends</t>
        </is>
      </c>
      <c r="E121" s="56" t="inlineStr">
        <is>
          <t>Le (m)</t>
        </is>
      </c>
      <c r="F121" s="56" t="inlineStr">
        <is>
          <t>αm</t>
        </is>
      </c>
      <c r="G121" s="56" t="inlineStr">
        <is>
          <t>αs</t>
        </is>
      </c>
      <c r="H121" s="56" t="inlineStr">
        <is>
          <t>φMb (kN·m)</t>
        </is>
      </c>
      <c r="I121" s="56" t="inlineStr">
        <is>
          <t>M* (kN·m)</t>
        </is>
      </c>
      <c r="J121" s="56" t="inlineStr">
        <is>
          <t>Utilisation</t>
        </is>
      </c>
    </row>
    <row r="122" ht="14" customHeight="1">
      <c r="B122" s="31" cm="1">
        <f t="array" ref="B122">OAR.ULS(SectionSize,Grade,Span,E_mod,IncludeSW,Loads_B1[[Case]:[End (mm)]],_xlfn.ANCHORARRAY(B66),Restraints_B1,$I$77:$J$78)</f>
        <v/>
      </c>
      <c r="C122" s="31" t="n"/>
      <c r="D122" s="31" t="n"/>
      <c r="E122" s="61" t="n"/>
      <c r="F122" s="67" t="n"/>
      <c r="G122" s="67" t="n"/>
      <c r="H122" s="68" t="n"/>
      <c r="I122" s="68" t="n"/>
      <c r="J122" s="65" t="n"/>
    </row>
    <row r="123" ht="14" customHeight="1">
      <c r="B123" s="31" t="n"/>
      <c r="C123" s="31" t="n"/>
      <c r="D123" s="31" t="n"/>
      <c r="E123" s="61" t="n"/>
      <c r="F123" s="67" t="n"/>
      <c r="G123" s="67" t="n"/>
      <c r="H123" s="68" t="n"/>
      <c r="I123" s="68" t="n"/>
      <c r="J123" s="65" t="n"/>
    </row>
    <row r="124" ht="14" customHeight="1">
      <c r="B124" s="31" t="n"/>
      <c r="C124" s="31" t="n"/>
      <c r="D124" s="31" t="n"/>
      <c r="E124" s="61" t="n"/>
      <c r="F124" s="67" t="n"/>
      <c r="G124" s="67" t="n"/>
      <c r="H124" s="68" t="n"/>
      <c r="I124" s="68" t="n"/>
      <c r="J124" s="65" t="n"/>
    </row>
    <row r="125" ht="14" customHeight="1">
      <c r="B125" s="31" t="n"/>
      <c r="C125" s="31" t="n"/>
      <c r="D125" s="31" t="n"/>
      <c r="E125" s="61" t="n"/>
      <c r="F125" s="67" t="n"/>
      <c r="G125" s="67" t="n"/>
      <c r="H125" s="68" t="n"/>
      <c r="I125" s="68" t="n"/>
      <c r="J125" s="65" t="n"/>
    </row>
    <row r="126" ht="14" customHeight="1">
      <c r="B126" s="31" t="n"/>
      <c r="C126" s="31" t="n"/>
      <c r="D126" s="31" t="n"/>
      <c r="E126" s="61" t="n"/>
      <c r="F126" s="67" t="n"/>
      <c r="G126" s="67" t="n"/>
      <c r="H126" s="68" t="n"/>
      <c r="I126" s="68" t="n"/>
      <c r="J126" s="65" t="n"/>
    </row>
    <row r="127" ht="14" customHeight="1">
      <c r="B127" s="31" t="n"/>
      <c r="C127" s="31" t="n"/>
      <c r="D127" s="31" t="n"/>
      <c r="E127" s="61" t="n"/>
      <c r="F127" s="67" t="n"/>
      <c r="G127" s="67" t="n"/>
      <c r="H127" s="68" t="n"/>
      <c r="I127" s="68" t="n"/>
      <c r="J127" s="65" t="n"/>
    </row>
    <row r="128" ht="14" customHeight="1">
      <c r="B128" s="31" t="n"/>
      <c r="C128" s="31" t="n"/>
      <c r="D128" s="31" t="n"/>
      <c r="E128" s="61" t="n"/>
      <c r="F128" s="67" t="n"/>
      <c r="G128" s="67" t="n"/>
      <c r="H128" s="68" t="n"/>
      <c r="I128" s="68" t="n"/>
      <c r="J128" s="65" t="n"/>
    </row>
    <row r="129" ht="14" customHeight="1">
      <c r="B129" s="31" t="n"/>
      <c r="C129" s="31" t="n"/>
      <c r="D129" s="31" t="n"/>
      <c r="E129" s="61" t="n"/>
      <c r="F129" s="67" t="n"/>
      <c r="G129" s="67" t="n"/>
      <c r="H129" s="68" t="n"/>
      <c r="I129" s="68" t="n"/>
      <c r="J129" s="65" t="n"/>
    </row>
    <row r="130" ht="14" customHeight="1">
      <c r="B130" s="31" t="n"/>
      <c r="C130" s="31" t="n"/>
      <c r="D130" s="31" t="n"/>
      <c r="E130" s="61" t="n"/>
      <c r="F130" s="67" t="n"/>
      <c r="G130" s="67" t="n"/>
      <c r="H130" s="68" t="n"/>
      <c r="I130" s="68" t="n"/>
      <c r="J130" s="65" t="n"/>
    </row>
    <row r="131" ht="14" customHeight="1">
      <c r="B131" s="31" t="n"/>
      <c r="C131" s="31" t="n"/>
      <c r="D131" s="31" t="n"/>
      <c r="E131" s="61" t="n"/>
      <c r="F131" s="67" t="n"/>
      <c r="G131" s="67" t="n"/>
      <c r="H131" s="68" t="n"/>
      <c r="I131" s="68" t="n"/>
      <c r="J131" s="65" t="n"/>
    </row>
    <row r="132" ht="14" customHeight="1">
      <c r="B132" s="31" t="n"/>
      <c r="C132" s="31" t="n"/>
      <c r="D132" s="31" t="n"/>
      <c r="E132" s="61" t="n"/>
      <c r="F132" s="67" t="n"/>
      <c r="G132" s="67" t="n"/>
      <c r="H132" s="68" t="n"/>
      <c r="I132" s="68" t="n"/>
      <c r="J132" s="65" t="n"/>
    </row>
    <row r="133" ht="14" customHeight="1">
      <c r="B133" s="31" t="n"/>
      <c r="C133" s="31" t="n"/>
      <c r="D133" s="31" t="n"/>
      <c r="E133" s="61" t="n"/>
      <c r="F133" s="67" t="n"/>
      <c r="G133" s="67" t="n"/>
      <c r="H133" s="68" t="n"/>
      <c r="I133" s="68" t="n"/>
      <c r="J133" s="65" t="n"/>
    </row>
    <row r="134" ht="14" customHeight="1">
      <c r="B134" s="31" t="n"/>
      <c r="C134" s="31" t="n"/>
      <c r="D134" s="31" t="n"/>
      <c r="E134" s="61" t="n"/>
      <c r="F134" s="67" t="n"/>
      <c r="G134" s="67" t="n"/>
      <c r="H134" s="68" t="n"/>
      <c r="I134" s="68" t="n"/>
      <c r="J134" s="65" t="n"/>
    </row>
    <row r="135" ht="14" customHeight="1">
      <c r="B135" s="31" t="n"/>
      <c r="C135" s="31" t="n"/>
      <c r="D135" s="31" t="n"/>
      <c r="E135" s="61" t="n"/>
      <c r="F135" s="67" t="n"/>
      <c r="G135" s="67" t="n"/>
      <c r="H135" s="68" t="n"/>
      <c r="I135" s="68" t="n"/>
      <c r="J135" s="65" t="n"/>
    </row>
    <row r="136" ht="14" customHeight="1">
      <c r="B136" s="31" t="n"/>
      <c r="C136" s="31" t="n"/>
      <c r="D136" s="31" t="n"/>
      <c r="E136" s="61" t="n"/>
      <c r="F136" s="67" t="n"/>
      <c r="G136" s="67" t="n"/>
      <c r="H136" s="68" t="n"/>
      <c r="I136" s="68" t="n"/>
      <c r="J136" s="65" t="n"/>
    </row>
    <row r="137" ht="14" customHeight="1">
      <c r="B137" s="31" t="n"/>
      <c r="C137" s="31" t="n"/>
      <c r="D137" s="31" t="n"/>
      <c r="E137" s="61" t="n"/>
      <c r="F137" s="67" t="n"/>
      <c r="G137" s="67" t="n"/>
      <c r="H137" s="68" t="n"/>
      <c r="I137" s="68" t="n"/>
      <c r="J137" s="65" t="n"/>
    </row>
    <row r="138" ht="14" customHeight="1">
      <c r="B138" s="15" t="inlineStr">
        <is>
          <t>* αm overridden in the restraints table.  Full working for the governing segment follows.</t>
        </is>
      </c>
    </row>
    <row r="139" ht="14" customHeight="1"/>
    <row r="140" ht="20" customHeight="1">
      <c r="B140" s="10" t="inlineStr">
        <is>
          <t>Governing Segment – Working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>
      <c r="B141" s="15" t="inlineStr">
        <is>
          <t>OAR.ULSDETAIL: change the comboId / segment arguments to show any other segment.</t>
        </is>
      </c>
    </row>
    <row r="142">
      <c r="D142" s="69" cm="1">
        <f t="array" ref="D142">OAR.ULSDETAIL(SectionSize,Grade,Span,E_mod,IncludeSW,Loads_B1[[Case]:[End (mm)]],_xlfn.ANCHORARRAY(B66),Restraints_B1,$I$77:$J$78)</f>
        <v/>
      </c>
      <c r="E142" s="70" t="n"/>
      <c r="F142" s="32" t="n"/>
    </row>
    <row r="143">
      <c r="D143" s="69" t="n"/>
      <c r="E143" s="70" t="n"/>
      <c r="F143" s="32" t="n"/>
    </row>
    <row r="144">
      <c r="D144" s="69" t="n"/>
      <c r="E144" s="70" t="n"/>
      <c r="F144" s="32" t="n"/>
    </row>
    <row r="145">
      <c r="D145" s="69" t="n"/>
      <c r="E145" s="70" t="n"/>
      <c r="F145" s="32" t="n"/>
    </row>
    <row r="146">
      <c r="D146" s="69" t="n"/>
      <c r="E146" s="70" t="n"/>
      <c r="F146" s="32" t="n"/>
    </row>
    <row r="147">
      <c r="D147" s="69" t="n"/>
      <c r="E147" s="70" t="n"/>
      <c r="F147" s="32" t="n"/>
    </row>
    <row r="148">
      <c r="D148" s="69" t="n"/>
      <c r="E148" s="70" t="n"/>
      <c r="F148" s="32" t="n"/>
    </row>
    <row r="149">
      <c r="D149" s="69" t="n"/>
      <c r="E149" s="70" t="n"/>
      <c r="F149" s="32" t="n"/>
    </row>
    <row r="150">
      <c r="D150" s="69" t="n"/>
      <c r="E150" s="70" t="n"/>
      <c r="F150" s="32" t="n"/>
    </row>
    <row r="151">
      <c r="D151" s="69" t="n"/>
      <c r="E151" s="70" t="n"/>
      <c r="F151" s="32" t="n"/>
    </row>
    <row r="152">
      <c r="D152" s="69" t="n"/>
      <c r="E152" s="70" t="n"/>
      <c r="F152" s="32" t="n"/>
    </row>
    <row r="153">
      <c r="D153" s="69" t="n"/>
      <c r="E153" s="70" t="n"/>
      <c r="F153" s="32" t="n"/>
    </row>
    <row r="154">
      <c r="D154" s="69" t="n"/>
      <c r="E154" s="70" t="n"/>
      <c r="F154" s="32" t="n"/>
    </row>
    <row r="155">
      <c r="D155" s="69" t="n"/>
      <c r="E155" s="70" t="n"/>
      <c r="F155" s="32" t="n"/>
    </row>
    <row r="156">
      <c r="D156" s="69" t="n"/>
      <c r="E156" s="70" t="n"/>
      <c r="F156" s="32" t="n"/>
    </row>
    <row r="157">
      <c r="D157" s="69" t="n"/>
      <c r="E157" s="70" t="n"/>
      <c r="F157" s="32" t="n"/>
    </row>
    <row r="158">
      <c r="D158" s="69" t="n"/>
      <c r="E158" s="70" t="n"/>
      <c r="F158" s="32" t="n"/>
    </row>
    <row r="159">
      <c r="D159" s="69" t="n"/>
      <c r="E159" s="70" t="n"/>
      <c r="F159" s="32" t="n"/>
    </row>
    <row r="160">
      <c r="D160" s="69" t="n"/>
      <c r="E160" s="70" t="n"/>
      <c r="F160" s="32" t="n"/>
    </row>
    <row r="161">
      <c r="D161" s="69" t="n"/>
      <c r="E161" s="70" t="n"/>
      <c r="F161" s="32" t="n"/>
    </row>
    <row r="162">
      <c r="D162" s="69" t="n"/>
      <c r="E162" s="70" t="n"/>
      <c r="F162" s="32" t="n"/>
    </row>
    <row r="163">
      <c r="D163" s="69" t="n"/>
      <c r="E163" s="70" t="n"/>
      <c r="F163" s="32" t="n"/>
    </row>
    <row r="165" ht="20" customHeight="1">
      <c r="B165" s="10" t="inlineStr">
        <is>
          <t>Shear (AS 4100 Cl. 5.11)</t>
        </is>
      </c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B166" s="56" t="inlineStr">
        <is>
          <t>Combo</t>
        </is>
      </c>
      <c r="C166" s="56" t="inlineStr">
        <is>
          <t>V* (kN)</t>
        </is>
      </c>
      <c r="D166" s="56" t="inlineStr">
        <is>
          <t>at x (m)</t>
        </is>
      </c>
      <c r="E166" s="56" t="inlineStr">
        <is>
          <t>φVv (kN)</t>
        </is>
      </c>
      <c r="F166" s="56" t="inlineStr">
        <is>
          <t>Utilisation</t>
        </is>
      </c>
      <c r="G166" s="56" t="inlineStr">
        <is>
          <t>Note</t>
        </is>
      </c>
    </row>
    <row r="167">
      <c r="B167" s="31" cm="1">
        <f t="array" ref="B167">OAR.SHEAR(SectionSize,Grade,Span,IncludeSW,Loads_B1[[Case]:[End (mm)]],_xlfn.ANCHORARRAY(B66))</f>
        <v/>
      </c>
      <c r="C167" s="68" t="n"/>
      <c r="D167" s="61" t="n"/>
      <c r="E167" s="68" t="n"/>
      <c r="F167" s="65" t="n"/>
      <c r="G167" s="71" t="n"/>
    </row>
    <row r="168">
      <c r="B168" s="31" t="n"/>
      <c r="C168" s="68" t="n"/>
      <c r="D168" s="61" t="n"/>
      <c r="E168" s="68" t="n"/>
      <c r="F168" s="65" t="n"/>
      <c r="G168" s="71" t="n"/>
    </row>
    <row r="169">
      <c r="B169" s="31" t="n"/>
      <c r="C169" s="68" t="n"/>
      <c r="D169" s="61" t="n"/>
      <c r="E169" s="68" t="n"/>
      <c r="F169" s="65" t="n"/>
      <c r="G169" s="71" t="n"/>
    </row>
    <row r="170">
      <c r="B170" s="31" t="n"/>
      <c r="C170" s="68" t="n"/>
      <c r="D170" s="61" t="n"/>
      <c r="E170" s="68" t="n"/>
      <c r="F170" s="65" t="n"/>
      <c r="G170" s="71" t="n"/>
    </row>
    <row r="171">
      <c r="B171" s="31" t="n"/>
      <c r="C171" s="68" t="n"/>
      <c r="D171" s="61" t="n"/>
      <c r="E171" s="68" t="n"/>
      <c r="F171" s="65" t="n"/>
      <c r="G171" s="71" t="n"/>
    </row>
    <row r="172">
      <c r="B172" s="31" t="n"/>
      <c r="C172" s="68" t="n"/>
      <c r="D172" s="61" t="n"/>
      <c r="E172" s="68" t="n"/>
      <c r="F172" s="65" t="n"/>
      <c r="G172" s="71" t="n"/>
    </row>
    <row r="173">
      <c r="B173" s="31" t="n"/>
      <c r="C173" s="68" t="n"/>
      <c r="D173" s="61" t="n"/>
      <c r="E173" s="68" t="n"/>
      <c r="F173" s="65" t="n"/>
      <c r="G173" s="71" t="n"/>
    </row>
    <row r="174">
      <c r="B174" s="31" t="n"/>
      <c r="C174" s="68" t="n"/>
      <c r="D174" s="61" t="n"/>
      <c r="E174" s="68" t="n"/>
      <c r="F174" s="65" t="n"/>
      <c r="G174" s="71" t="n"/>
    </row>
    <row r="176" ht="20" customHeight="1">
      <c r="B176" s="10" t="inlineStr">
        <is>
          <t>Support Reactions</t>
        </is>
      </c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B177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8">
      <c r="B178" s="28" t="inlineStr">
        <is>
          <t>Case</t>
        </is>
      </c>
      <c r="D178" s="28" t="inlineStr">
        <is>
          <t>Left (kN)</t>
        </is>
      </c>
      <c r="E178" s="28" t="inlineStr">
        <is>
          <t>Right (kN)</t>
        </is>
      </c>
      <c r="F178" s="28" t="inlineStr">
        <is>
          <t>Transfer names</t>
        </is>
      </c>
    </row>
    <row r="179">
      <c r="B179" s="48" t="inlineStr">
        <is>
          <t>G</t>
        </is>
      </c>
      <c r="C179" s="49" t="n"/>
      <c r="D179" s="33" cm="1">
        <f t="array" ref="D179">INDEX(OAR.REACTIONS(SectionSize,Span,IncludeSW,Loads_B1[[Case]:[End (mm)]],_xlfn.ANCHORARRAY(B66)),1,2)</f>
        <v/>
      </c>
      <c r="E179" s="33" cm="1">
        <f t="array" ref="E179">INDEX(OAR.REACTIONS(SectionSize,Span,IncludeSW,Loads_B1[[Case]:[End (mm)]],_xlfn.ANCHORARRAY(B66)),1,3)</f>
        <v/>
      </c>
      <c r="F179" s="20" t="inlineStr">
        <is>
          <t>RxnL_G  ·  RxnR_G</t>
        </is>
      </c>
    </row>
    <row r="180">
      <c r="B180" s="48" t="inlineStr">
        <is>
          <t>Q</t>
        </is>
      </c>
      <c r="C180" s="49" t="n"/>
      <c r="D180" s="33" cm="1">
        <f t="array" ref="D180">INDEX(OAR.REACTIONS(SectionSize,Span,IncludeSW,Loads_B1[[Case]:[End (mm)]],_xlfn.ANCHORARRAY(B66)),2,2)</f>
        <v/>
      </c>
      <c r="E180" s="33" cm="1">
        <f t="array" ref="E180">INDEX(OAR.REACTIONS(SectionSize,Span,IncludeSW,Loads_B1[[Case]:[End (mm)]],_xlfn.ANCHORARRAY(B66)),2,3)</f>
        <v/>
      </c>
      <c r="F180" s="20" t="inlineStr">
        <is>
          <t>RxnL_Q  ·  RxnR_Q</t>
        </is>
      </c>
    </row>
    <row r="181">
      <c r="B181" s="48" t="inlineStr">
        <is>
          <t>Wd</t>
        </is>
      </c>
      <c r="C181" s="49" t="n"/>
      <c r="D181" s="33" cm="1">
        <f t="array" ref="D181">INDEX(OAR.REACTIONS(SectionSize,Span,IncludeSW,Loads_B1[[Case]:[End (mm)]],_xlfn.ANCHORARRAY(B66)),3,2)</f>
        <v/>
      </c>
      <c r="E181" s="33" cm="1">
        <f t="array" ref="E181">INDEX(OAR.REACTIONS(SectionSize,Span,IncludeSW,Loads_B1[[Case]:[End (mm)]],_xlfn.ANCHORARRAY(B66)),3,3)</f>
        <v/>
      </c>
      <c r="F181" s="20" t="inlineStr">
        <is>
          <t>RxnL_Wd  ·  RxnR_Wd</t>
        </is>
      </c>
    </row>
    <row r="182">
      <c r="B182" s="48" t="inlineStr">
        <is>
          <t>Wu</t>
        </is>
      </c>
      <c r="C182" s="49" t="n"/>
      <c r="D182" s="33" cm="1">
        <f t="array" ref="D182">-INDEX(OAR.REACTIONS(SectionSize,Span,IncludeSW,Loads_B1[[Case]:[End (mm)]],_xlfn.ANCHORARRAY(B66)),4,2)</f>
        <v/>
      </c>
      <c r="E182" s="33" cm="1">
        <f t="array" ref="E182">-INDEX(OAR.REACTIONS(SectionSize,Span,IncludeSW,Loads_B1[[Case]:[End (mm)]],_xlfn.ANCHORARRAY(B66)),4,3)</f>
        <v/>
      </c>
      <c r="F182" s="20" t="inlineStr">
        <is>
          <t>RxnL_Wu  ·  RxnR_Wu</t>
        </is>
      </c>
    </row>
    <row r="183">
      <c r="B183" s="48" t="inlineStr">
        <is>
          <t>Wid</t>
        </is>
      </c>
      <c r="C183" s="49" t="n"/>
      <c r="D183" s="33" cm="1">
        <f t="array" ref="D183">INDEX(OAR.REACTIONS(SectionSize,Span,IncludeSW,Loads_B1[[Case]:[End (mm)]],_xlfn.ANCHORARRAY(B66)),5,2)</f>
        <v/>
      </c>
      <c r="E183" s="33" cm="1">
        <f t="array" ref="E183">INDEX(OAR.REACTIONS(SectionSize,Span,IncludeSW,Loads_B1[[Case]:[End (mm)]],_xlfn.ANCHORARRAY(B66)),5,3)</f>
        <v/>
      </c>
      <c r="F183" s="20" t="inlineStr">
        <is>
          <t>RxnL_Wid  ·  RxnR_Wid</t>
        </is>
      </c>
    </row>
    <row r="184">
      <c r="B184" s="48" t="inlineStr">
        <is>
          <t>Wiu</t>
        </is>
      </c>
      <c r="C184" s="49" t="n"/>
      <c r="D184" s="33" cm="1">
        <f t="array" ref="D184">-INDEX(OAR.REACTIONS(SectionSize,Span,IncludeSW,Loads_B1[[Case]:[End (mm)]],_xlfn.ANCHORARRAY(B66)),6,2)</f>
        <v/>
      </c>
      <c r="E184" s="33" cm="1">
        <f t="array" ref="E184">-INDEX(OAR.REACTIONS(SectionSize,Span,IncludeSW,Loads_B1[[Case]:[End (mm)]],_xlfn.ANCHORARRAY(B66)),6,3)</f>
        <v/>
      </c>
      <c r="F184" s="20" t="inlineStr">
        <is>
          <t>RxnL_Wiu  ·  RxnR_Wiu</t>
        </is>
      </c>
    </row>
    <row r="186">
      <c r="B186" s="15" t="inlineStr">
        <is>
          <t>All cases and active combinations (kN, + = upward reaction; uplift cases show negative)</t>
        </is>
      </c>
    </row>
    <row r="187">
      <c r="B187" s="56" t="inlineStr">
        <is>
          <t>ID</t>
        </is>
      </c>
      <c r="C187" s="56" t="inlineStr">
        <is>
          <t>Left (kN)</t>
        </is>
      </c>
      <c r="D187" s="56" t="inlineStr">
        <is>
          <t>Right (kN)</t>
        </is>
      </c>
    </row>
    <row r="188">
      <c r="B188" s="31" cm="1">
        <f t="array" ref="B188">OAR.REACTIONS(SectionSize,Span,IncludeSW,Loads_B1[[Case]:[End (mm)]],_xlfn.ANCHORARRAY(B66))</f>
        <v/>
      </c>
      <c r="C188" s="61" t="n"/>
      <c r="D188" s="61" t="n"/>
    </row>
    <row r="189">
      <c r="B189" s="31" t="n"/>
      <c r="C189" s="61" t="n"/>
      <c r="D189" s="61" t="n"/>
    </row>
    <row r="190">
      <c r="B190" s="31" t="n"/>
      <c r="C190" s="61" t="n"/>
      <c r="D190" s="61" t="n"/>
    </row>
    <row r="191">
      <c r="B191" s="31" t="n"/>
      <c r="C191" s="61" t="n"/>
      <c r="D191" s="61" t="n"/>
    </row>
    <row r="192">
      <c r="B192" s="31" t="n"/>
      <c r="C192" s="61" t="n"/>
      <c r="D192" s="61" t="n"/>
    </row>
    <row r="193">
      <c r="B193" s="31" t="n"/>
      <c r="C193" s="61" t="n"/>
      <c r="D193" s="61" t="n"/>
    </row>
    <row r="194">
      <c r="B194" s="31" t="n"/>
      <c r="C194" s="61" t="n"/>
      <c r="D194" s="61" t="n"/>
    </row>
    <row r="195">
      <c r="B195" s="31" t="n"/>
      <c r="C195" s="61" t="n"/>
      <c r="D195" s="61" t="n"/>
    </row>
    <row r="196">
      <c r="B196" s="31" t="n"/>
      <c r="C196" s="61" t="n"/>
      <c r="D196" s="61" t="n"/>
    </row>
    <row r="197">
      <c r="B197" s="31" t="n"/>
      <c r="C197" s="61" t="n"/>
      <c r="D197" s="61" t="n"/>
    </row>
    <row r="198">
      <c r="B198" s="31" t="n"/>
      <c r="C198" s="61" t="n"/>
      <c r="D198" s="61" t="n"/>
    </row>
    <row r="199">
      <c r="B199" s="31" t="n"/>
      <c r="C199" s="61" t="n"/>
      <c r="D199" s="61" t="n"/>
    </row>
    <row r="200">
      <c r="B200" s="31" t="n"/>
      <c r="C200" s="61" t="n"/>
      <c r="D200" s="61" t="n"/>
    </row>
    <row r="201">
      <c r="B201" s="31" t="n"/>
      <c r="C201" s="61" t="n"/>
      <c r="D201" s="61" t="n"/>
    </row>
  </sheetData>
  <mergeCells count="40">
    <mergeCell ref="F182:G182"/>
    <mergeCell ref="B16:C16"/>
    <mergeCell ref="F178:G178"/>
    <mergeCell ref="F10:G10"/>
    <mergeCell ref="F183:G183"/>
    <mergeCell ref="B22:C22"/>
    <mergeCell ref="B18:C18"/>
    <mergeCell ref="B184:C184"/>
    <mergeCell ref="B180:C180"/>
    <mergeCell ref="B10:D10"/>
    <mergeCell ref="B39:C39"/>
    <mergeCell ref="B21:C21"/>
    <mergeCell ref="M8:T40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F184:G184"/>
    <mergeCell ref="B40:C40"/>
    <mergeCell ref="F179:G179"/>
    <mergeCell ref="I1:J1"/>
    <mergeCell ref="B183:C183"/>
    <mergeCell ref="I4:J4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2:J137">
    <cfRule type="expression" priority="14" dxfId="7">
      <formula>$B122&lt;&gt;""</formula>
    </cfRule>
  </conditionalFormatting>
  <conditionalFormatting sqref="J122:J137">
    <cfRule type="expression" priority="15" dxfId="0">
      <formula>AND(ISNUMBER(J122),J122&gt;1)</formula>
    </cfRule>
  </conditionalFormatting>
  <conditionalFormatting sqref="C122:C137">
    <cfRule type="expression" priority="16" dxfId="9">
      <formula>RIGHT(C122,1)="*"</formula>
    </cfRule>
  </conditionalFormatting>
  <conditionalFormatting sqref="B167:F174">
    <cfRule type="expression" priority="17" dxfId="7">
      <formula>$B167&lt;&gt;""</formula>
    </cfRule>
  </conditionalFormatting>
  <conditionalFormatting sqref="F167:F174">
    <cfRule type="expression" priority="18" dxfId="0">
      <formula>AND(ISNUMBER(F167),F167&gt;1)</formula>
    </cfRule>
  </conditionalFormatting>
  <conditionalFormatting sqref="B188:D201">
    <cfRule type="expression" priority="19" dxfId="7">
      <formula>$B188&lt;&gt;""</formula>
    </cfRule>
  </conditionalFormatting>
  <dataValidations count="12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OFFSET($AL$8,0,0,MAX(1,COUNTA($AL$8:$AL$300)),1)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9" min="0" max="16383" man="1"/>
  </rowBreaks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2026-10-27T13:10:51Z</dcterms:created>
  <dcterms:modified xmlns:dcterms="http://purl.org/dc/terms/" xmlns:xsi="http://www.w3.org/2001/XMLSchema-instance" xsi:type="dcterms:W3CDTF">2026-10-27T13:10:52Z</dcterms:modified>
</cp:coreProperties>
</file>