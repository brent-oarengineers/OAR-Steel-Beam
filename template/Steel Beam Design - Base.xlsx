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'B1'!$D$179</definedName>
    <definedName name="RxnR_G" localSheetId="0">'B1'!$E$179</definedName>
    <definedName name="RxnL_Q" localSheetId="0">'B1'!$D$180</definedName>
    <definedName name="RxnR_Q" localSheetId="0">'B1'!$E$180</definedName>
    <definedName name="RxnL_Wd" localSheetId="0">'B1'!$D$181</definedName>
    <definedName name="RxnR_Wd" localSheetId="0">'B1'!$E$181</definedName>
    <definedName name="RxnL_Wu" localSheetId="0">'B1'!$D$182</definedName>
    <definedName name="RxnR_Wu" localSheetId="0">'B1'!$E$182</definedName>
    <definedName name="RxnL_Wid" localSheetId="0">'B1'!$D$183</definedName>
    <definedName name="RxnR_Wid" localSheetId="0">'B1'!$E$183</definedName>
    <definedName name="RxnL_Wiu" localSheetId="0">'B1'!$D$184</definedName>
    <definedName name="RxnR_Wiu" localSheetId="0">'B1'!$E$184</definedName>
    <definedName name="Out_Reactions" localSheetId="0">'B1'!$B$188</definedName>
    <definedName name="_xlnm.Print_Area" localSheetId="0">'B1'!$A$1:$K$202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'B1'!AC13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'B1'!$AC$14:$AC$74</f>
            </numRef>
          </yVal>
          <smooth val="0"/>
        </ser>
        <ser>
          <idx val="1"/>
          <order val="1"/>
          <tx>
            <strRef>
              <f>'B1'!AD13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'B1'!$AD$14:$AD$74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V* (kN)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3131999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106</row>
      <rowOff>0</rowOff>
    </from>
    <ext cx="3131999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S201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(mm)]],_xlfn.ANCHORARRAY(B66),Restraints_B1[#Data],$I$77:$J$78)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</row>
    <row r="14" ht="14" customHeight="1">
      <c r="B14" s="32" t="inlineStr">
        <is>
          <t>Serviceability</t>
        </is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</row>
    <row r="15" ht="14" customHeight="1">
      <c r="B15" s="34" t="inlineStr">
        <is>
          <t>Δg</t>
        </is>
      </c>
      <c r="D15" s="35" t="inlineStr">
        <is>
          <t>Dead load</t>
        </is>
      </c>
      <c r="E15" s="36" cm="1">
        <f t="array" ref="E15">INDEX(_xlfn.ANCHORARRAY(B86),1,2)</f>
        <v/>
      </c>
      <c r="F15" s="36">
        <f>IF(N(E37)=0,"",IF(N(F37)=0,Span/E37,MIN(Span/E37,F37)))</f>
        <v/>
      </c>
      <c r="G15" s="37" t="inlineStr">
        <is>
          <t>mm</t>
        </is>
      </c>
      <c r="H15" s="38">
        <f>IF(N(E15)=0,"",Span/E15)</f>
        <v/>
      </c>
      <c r="I15" s="39">
        <f>IF(OR(E15="",N(F15)=0),"",ABS(E15)/F15)</f>
        <v/>
      </c>
      <c r="J15" s="40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</row>
    <row r="16" ht="14" customHeight="1">
      <c r="B16" s="34" t="inlineStr">
        <is>
          <t>Δg+ψl·q</t>
        </is>
      </c>
      <c r="D16" s="35" t="inlineStr">
        <is>
          <t>Long term</t>
        </is>
      </c>
      <c r="E16" s="36" cm="1">
        <f t="array" ref="E16">INDEX(_xlfn.ANCHORARRAY(B86),2,2)</f>
        <v/>
      </c>
      <c r="F16" s="36">
        <f>IF(N(E38)=0,"",IF(N(F38)=0,Span/E38,MIN(Span/E38,F38)))</f>
        <v/>
      </c>
      <c r="G16" s="37" t="inlineStr">
        <is>
          <t>mm</t>
        </is>
      </c>
      <c r="H16" s="38">
        <f>IF(N(E16)=0,"",Span/E16)</f>
        <v/>
      </c>
      <c r="I16" s="39">
        <f>IF(OR(E16="",N(F16)=0),"",ABS(E16)/F16)</f>
        <v/>
      </c>
      <c r="J16" s="40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</row>
    <row r="17" ht="14" customHeight="1">
      <c r="B17" s="34" t="inlineStr">
        <is>
          <t>Δg+ψs·q</t>
        </is>
      </c>
      <c r="D17" s="35" t="inlineStr">
        <is>
          <t>Short term</t>
        </is>
      </c>
      <c r="E17" s="36" cm="1">
        <f t="array" ref="E17">INDEX(_xlfn.ANCHORARRAY(B86),3,2)</f>
        <v/>
      </c>
      <c r="F17" s="36">
        <f>IF(N(E39)=0,"",IF(N(F39)=0,Span/E39,MIN(Span/E39,F39)))</f>
        <v/>
      </c>
      <c r="G17" s="37" t="inlineStr">
        <is>
          <t>mm</t>
        </is>
      </c>
      <c r="H17" s="38">
        <f>IF(N(E17)=0,"",Span/E17)</f>
        <v/>
      </c>
      <c r="I17" s="39">
        <f>IF(OR(E17="",N(F17)=0),"",ABS(E17)/F17)</f>
        <v/>
      </c>
      <c r="J17" s="40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</row>
    <row r="18" ht="14" customHeight="1">
      <c r="B18" s="34" t="inlineStr">
        <is>
          <t>Δq</t>
        </is>
      </c>
      <c r="D18" s="35" t="inlineStr">
        <is>
          <t>Live load only</t>
        </is>
      </c>
      <c r="E18" s="36" cm="1">
        <f t="array" ref="E18">INDEX(_xlfn.ANCHORARRAY(B86),4,2)</f>
        <v/>
      </c>
      <c r="F18" s="36">
        <f>IF(N(E40)=0,"",IF(N(F40)=0,Span/E40,MIN(Span/E40,F40)))</f>
        <v/>
      </c>
      <c r="G18" s="37" t="inlineStr">
        <is>
          <t>mm</t>
        </is>
      </c>
      <c r="H18" s="38">
        <f>IF(N(E18)=0,"",Span/E18)</f>
        <v/>
      </c>
      <c r="I18" s="39">
        <f>IF(OR(E18="",N(F18)=0),"",ABS(E18)/F18)</f>
        <v/>
      </c>
      <c r="J18" s="40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</row>
    <row r="19" ht="14" customHeight="1">
      <c r="B19" s="34" t="inlineStr">
        <is>
          <t>Δ1kN</t>
        </is>
      </c>
      <c r="D19" s="35" t="inlineStr">
        <is>
          <t>1 kN at midspan</t>
        </is>
      </c>
      <c r="E19" s="36" cm="1">
        <f t="array" ref="E19">INDEX(_xlfn.ANCHORARRAY(B86),5,2)</f>
        <v/>
      </c>
      <c r="F19" s="36">
        <f>IF(N(E41)=0,"",IF(N(F41)=0,Span/E41,MIN(Span/E41,F41)))</f>
        <v/>
      </c>
      <c r="G19" s="37" t="inlineStr">
        <is>
          <t>mm</t>
        </is>
      </c>
      <c r="H19" s="38">
        <f>IF(N(E19)=0,"",Span/E19)</f>
        <v/>
      </c>
      <c r="I19" s="39">
        <f>IF(OR(E19="",N(F19)=0),"",ABS(E19)/F19)</f>
        <v/>
      </c>
      <c r="J19" s="40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</row>
    <row r="20" ht="14" customHeight="1">
      <c r="B20" s="32" t="inlineStr">
        <is>
          <t>Strength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</row>
    <row r="21" ht="14" customHeight="1">
      <c r="B21" s="34" t="inlineStr">
        <is>
          <t>M* / φMbx</t>
        </is>
      </c>
      <c r="D21" s="35" t="inlineStr">
        <is>
          <t>Bending – gravity (top flange critical)</t>
        </is>
      </c>
      <c r="E21" s="41" cm="1">
        <f t="array" ref="E21">INDEX(_xlfn.ANCHORARRAY(Z8),1,2)</f>
        <v/>
      </c>
      <c r="F21" s="41" cm="1">
        <f t="array" ref="F21">INDEX(_xlfn.ANCHORARRAY(Z8),1,3)</f>
        <v/>
      </c>
      <c r="G21" s="37" t="inlineStr">
        <is>
          <t>kN·m</t>
        </is>
      </c>
      <c r="H21" s="19" t="inlineStr"/>
      <c r="I21" s="39">
        <f>IF(OR(E21="",N(F21)=0),"",ABS(E21)/F21)</f>
        <v/>
      </c>
      <c r="J21" s="40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</row>
    <row r="22" ht="14" customHeight="1">
      <c r="B22" s="34" t="inlineStr">
        <is>
          <t>M* / φMbx</t>
        </is>
      </c>
      <c r="D22" s="35">
        <f>IF(NumUpliftCombos=0,"Bending – uplift (no uplift combinations)","Bending – uplift (bottom flange critical)")</f>
        <v/>
      </c>
      <c r="E22" s="41" cm="1">
        <f t="array" ref="E22">INDEX(_xlfn.ANCHORARRAY(Z8),2,2)</f>
        <v/>
      </c>
      <c r="F22" s="41" cm="1">
        <f t="array" ref="F22">INDEX(_xlfn.ANCHORARRAY(Z8),2,3)</f>
        <v/>
      </c>
      <c r="G22" s="37" t="inlineStr">
        <is>
          <t>kN·m</t>
        </is>
      </c>
      <c r="H22" s="19" t="inlineStr"/>
      <c r="I22" s="39">
        <f>IF(OR(E22="",N(F22)=0),"",ABS(E22)/F22)</f>
        <v/>
      </c>
      <c r="J22" s="40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</row>
    <row r="23" ht="14" customHeight="1">
      <c r="B23" s="34" t="inlineStr">
        <is>
          <t>V* / φVv</t>
        </is>
      </c>
      <c r="D23" s="35" t="inlineStr">
        <is>
          <t>Shear</t>
        </is>
      </c>
      <c r="E23" s="41" cm="1">
        <f t="array" ref="E23">INDEX(_xlfn.ANCHORARRAY(Z8),3,2)</f>
        <v/>
      </c>
      <c r="F23" s="41" cm="1">
        <f t="array" ref="F23">INDEX(_xlfn.ANCHORARRAY(Z8),3,3)</f>
        <v/>
      </c>
      <c r="G23" s="37" t="inlineStr">
        <is>
          <t>kN</t>
        </is>
      </c>
      <c r="H23" s="19" t="inlineStr"/>
      <c r="I23" s="39">
        <f>IF(OR(E23="",N(F23)=0),"",ABS(E23)/F23)</f>
        <v/>
      </c>
      <c r="J23" s="40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</row>
    <row r="26" ht="14" customHeight="1">
      <c r="B26" s="42" t="inlineStr">
        <is>
          <t>Section type</t>
        </is>
      </c>
      <c r="E26" s="2" t="inlineStr">
        <is>
          <t>UB</t>
        </is>
      </c>
      <c r="G26" s="43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</row>
    <row r="27" ht="14" customHeight="1">
      <c r="B27" s="42" t="inlineStr">
        <is>
          <t>Section size</t>
        </is>
      </c>
      <c r="E27" s="2" t="inlineStr">
        <is>
          <t>310UB40.4</t>
        </is>
      </c>
      <c r="G27" s="44" t="inlineStr">
        <is>
          <t>Mass</t>
        </is>
      </c>
      <c r="H27" s="41" cm="1">
        <f t="array" ref="H27">OAR.SECTION(SectionSize,"Mass",Grade)</f>
        <v/>
      </c>
      <c r="I27" s="45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</row>
    <row r="28" ht="14" customHeight="1">
      <c r="B28" s="42" t="inlineStr">
        <is>
          <t>Steel grade</t>
        </is>
      </c>
      <c r="E28" s="46" t="n">
        <v>300</v>
      </c>
      <c r="F28" s="45" t="inlineStr">
        <is>
          <t>MPa</t>
        </is>
      </c>
      <c r="G28" s="44" t="inlineStr">
        <is>
          <t>Ix</t>
        </is>
      </c>
      <c r="H28" s="41" cm="1">
        <f t="array" ref="H28">OAR.SECTION(SectionSize,"Ix",Grade)</f>
        <v/>
      </c>
      <c r="I28" s="45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</row>
    <row r="29" ht="14" customHeight="1">
      <c r="B29" s="42" t="inlineStr">
        <is>
          <t>Span (centre to centre of supports)</t>
        </is>
      </c>
      <c r="E29" s="47" t="n">
        <v>8300</v>
      </c>
      <c r="F29" s="45" t="inlineStr">
        <is>
          <t>mm</t>
        </is>
      </c>
      <c r="G29" s="44" t="inlineStr">
        <is>
          <t>Iy</t>
        </is>
      </c>
      <c r="H29" s="36" cm="1">
        <f t="array" ref="H29">OAR.SECTION(SectionSize,"Iy",Grade)</f>
        <v/>
      </c>
      <c r="I29" s="45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</row>
    <row r="30" ht="14" customHeight="1">
      <c r="B30" s="42" t="inlineStr">
        <is>
          <t>Support condition</t>
        </is>
      </c>
      <c r="E30" s="5" t="inlineStr">
        <is>
          <t>Simply supported</t>
        </is>
      </c>
      <c r="F30" s="48" t="n"/>
      <c r="G30" s="44" t="inlineStr">
        <is>
          <t>J</t>
        </is>
      </c>
      <c r="H30" s="41" cm="1">
        <f t="array" ref="H30">OAR.SECTION(SectionSize,"J",Grade)</f>
        <v/>
      </c>
      <c r="I30" s="45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</row>
    <row r="31" ht="14" customHeight="1">
      <c r="B31" s="42" t="inlineStr">
        <is>
          <t>Elastic modulus</t>
        </is>
      </c>
      <c r="E31" s="47" t="n">
        <v>200000</v>
      </c>
      <c r="F31" s="45" t="inlineStr">
        <is>
          <t>MPa</t>
        </is>
      </c>
      <c r="G31" s="44" t="inlineStr">
        <is>
          <t>Iw</t>
        </is>
      </c>
      <c r="H31" s="41" cm="1">
        <f t="array" ref="H31">OAR.SECTION(SectionSize,"Iw",Grade)</f>
        <v/>
      </c>
      <c r="I31" s="45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</row>
    <row r="32" ht="14" customHeight="1">
      <c r="B32" s="42" t="inlineStr">
        <is>
          <t>Include self-weight</t>
        </is>
      </c>
      <c r="E32" s="2" t="inlineStr">
        <is>
          <t>Yes</t>
        </is>
      </c>
      <c r="G32" s="44" t="inlineStr">
        <is>
          <t>Zex</t>
        </is>
      </c>
      <c r="H32" s="49" cm="1">
        <f t="array" ref="H32">OAR.SECTION(SectionSize,"Ze",Grade)</f>
        <v/>
      </c>
      <c r="I32" s="45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</row>
    <row r="33" ht="14" customHeight="1">
      <c r="G33" s="44" t="inlineStr">
        <is>
          <t>φMsx</t>
        </is>
      </c>
      <c r="H33" s="41" cm="1">
        <f t="array" ref="H33">OAR.SECTION(SectionSize,"phiMsx",Grade)</f>
        <v/>
      </c>
      <c r="I33" s="45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</row>
    <row r="36" ht="14" customHeight="1">
      <c r="B36" s="50" t="inlineStr">
        <is>
          <t>Case</t>
        </is>
      </c>
      <c r="C36" s="48" t="n"/>
      <c r="D36" s="50" t="inlineStr">
        <is>
          <t>Description</t>
        </is>
      </c>
      <c r="E36" s="50" t="inlineStr">
        <is>
          <t xml:space="preserve">Span / </t>
        </is>
      </c>
      <c r="F36" s="50" t="inlineStr">
        <is>
          <t>Max (mm)</t>
        </is>
      </c>
      <c r="G36" s="50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</row>
    <row r="37" ht="14" customHeight="1">
      <c r="B37" s="51" t="inlineStr">
        <is>
          <t>Δg</t>
        </is>
      </c>
      <c r="C37" s="52" t="n"/>
      <c r="D37" s="53" t="inlineStr">
        <is>
          <t>Dead load</t>
        </is>
      </c>
      <c r="E37" s="46" t="n">
        <v>500</v>
      </c>
      <c r="F37" s="54" t="n">
        <v>20</v>
      </c>
      <c r="G37" s="55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</row>
    <row r="38" ht="14" customHeight="1">
      <c r="B38" s="51" t="inlineStr">
        <is>
          <t>Δg+ψl·q</t>
        </is>
      </c>
      <c r="C38" s="52" t="n"/>
      <c r="D38" s="53" t="inlineStr">
        <is>
          <t>Long term (ψl)</t>
        </is>
      </c>
      <c r="E38" s="46" t="n">
        <v>360</v>
      </c>
      <c r="F38" s="54" t="n">
        <v>25</v>
      </c>
      <c r="G38" s="54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</row>
    <row r="39" ht="14" customHeight="1">
      <c r="B39" s="51" t="inlineStr">
        <is>
          <t>Δg+ψs·q</t>
        </is>
      </c>
      <c r="C39" s="52" t="n"/>
      <c r="D39" s="53" t="inlineStr">
        <is>
          <t>Short term (ψs)</t>
        </is>
      </c>
      <c r="E39" s="46" t="n">
        <v>300</v>
      </c>
      <c r="F39" s="54" t="n">
        <v>30</v>
      </c>
      <c r="G39" s="54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</row>
    <row r="40" ht="14" customHeight="1">
      <c r="B40" s="51" t="inlineStr">
        <is>
          <t>Δq</t>
        </is>
      </c>
      <c r="C40" s="52" t="n"/>
      <c r="D40" s="53" t="inlineStr">
        <is>
          <t>Live load only</t>
        </is>
      </c>
      <c r="E40" s="46" t="n">
        <v>250</v>
      </c>
      <c r="F40" s="54" t="n">
        <v>30</v>
      </c>
      <c r="G40" s="55" t="inlineStr">
        <is>
          <t>–</t>
        </is>
      </c>
      <c r="M40" s="56" t="n"/>
      <c r="N40" s="57" t="n"/>
      <c r="O40" s="57" t="n"/>
      <c r="P40" s="57" t="n"/>
      <c r="Q40" s="57" t="n"/>
      <c r="R40" s="57" t="n"/>
      <c r="S40" s="57" t="n"/>
      <c r="T40" s="58" t="n"/>
      <c r="AN40" s="20" t="inlineStr">
        <is>
          <t>610UB101</t>
        </is>
      </c>
    </row>
    <row r="41" ht="14" customHeight="1">
      <c r="B41" s="51" t="inlineStr">
        <is>
          <t>Δ1kN</t>
        </is>
      </c>
      <c r="C41" s="52" t="n"/>
      <c r="D41" s="53" t="inlineStr">
        <is>
          <t>1 kN point load at midspan</t>
        </is>
      </c>
      <c r="E41" s="46" t="n">
        <v>1000</v>
      </c>
      <c r="F41" s="54" t="n">
        <v>1.5</v>
      </c>
      <c r="G41" s="55" t="inlineStr">
        <is>
          <t>–</t>
        </is>
      </c>
      <c r="AN41" s="20" t="inlineStr">
        <is>
          <t>530UB92.4</t>
        </is>
      </c>
    </row>
    <row r="42" ht="14" customHeight="1">
      <c r="AN42" s="20" t="inlineStr">
        <is>
          <t>530UB82</t>
        </is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</row>
    <row r="46" ht="26" customHeight="1">
      <c r="B46" s="59" t="inlineStr">
        <is>
          <t>Case</t>
        </is>
      </c>
      <c r="C46" s="59" t="inlineStr">
        <is>
          <t>Type</t>
        </is>
      </c>
      <c r="D46" s="59" t="inlineStr">
        <is>
          <t>Description</t>
        </is>
      </c>
      <c r="E46" s="59" t="inlineStr">
        <is>
          <t>Trib (m | m²)</t>
        </is>
      </c>
      <c r="F46" s="59" t="inlineStr">
        <is>
          <t>Press. (kPa)</t>
        </is>
      </c>
      <c r="G46" s="59" t="inlineStr">
        <is>
          <t>+ Direct (kN/m | kN)</t>
        </is>
      </c>
      <c r="H46" s="59" t="inlineStr">
        <is>
          <t>Start (mm)</t>
        </is>
      </c>
      <c r="I46" s="59" t="inlineStr">
        <is>
          <t>End (mm)</t>
        </is>
      </c>
      <c r="J46" s="59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0" t="n">
        <v>5.65</v>
      </c>
      <c r="F47" s="30">
        <f>IFERROR(INDEX(LoadLib_B1[kPa],MATCH(D47,LoadLib_B1[Description],0)),"")</f>
        <v/>
      </c>
      <c r="G47" s="30" t="n"/>
      <c r="H47" s="47" t="n"/>
      <c r="I47" s="47" t="n"/>
      <c r="J47" s="61">
        <f>IF(B47="","",N(E47)*N(F47)+N(G47))</f>
        <v/>
      </c>
      <c r="M47" s="2" t="n"/>
      <c r="N47" s="62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0" t="n">
        <v>5.65</v>
      </c>
      <c r="F48" s="30">
        <f>IFERROR(INDEX(LoadLib_B1[kPa],MATCH(D48,LoadLib_B1[Description],0)),"")</f>
        <v/>
      </c>
      <c r="G48" s="30" t="n"/>
      <c r="H48" s="47" t="n"/>
      <c r="I48" s="47" t="n"/>
      <c r="J48" s="61">
        <f>IF(B48="","",N(E48)*N(F48)+N(G48))</f>
        <v/>
      </c>
      <c r="M48" s="2" t="n"/>
      <c r="N48" s="62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0" t="n"/>
      <c r="F49" s="30" t="n"/>
      <c r="G49" s="30" t="n">
        <v>0.05</v>
      </c>
      <c r="H49" s="47" t="n"/>
      <c r="I49" s="47" t="n"/>
      <c r="J49" s="61">
        <f>IF(B49="","",N(E49)*N(F49)+N(G49))</f>
        <v/>
      </c>
      <c r="M49" s="2" t="n"/>
      <c r="N49" s="62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0" t="n">
        <v>5.65</v>
      </c>
      <c r="F50" s="30">
        <f>IFERROR(INDEX(LoadLib_B1[kPa],MATCH(D50,LoadLib_B1[Description],0)),"")</f>
        <v/>
      </c>
      <c r="G50" s="30" t="n"/>
      <c r="H50" s="47" t="n"/>
      <c r="I50" s="47" t="n"/>
      <c r="J50" s="61">
        <f>IF(B50="","",N(E50)*N(F50)+N(G50))</f>
        <v/>
      </c>
      <c r="M50" s="2" t="n"/>
      <c r="N50" s="62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0" t="n">
        <v>5.65</v>
      </c>
      <c r="F51" s="30" t="n">
        <v>1.72</v>
      </c>
      <c r="G51" s="30" t="n"/>
      <c r="H51" s="47" t="n"/>
      <c r="I51" s="47" t="n"/>
      <c r="J51" s="61">
        <f>IF(B51="","",N(E51)*N(F51)+N(G51))</f>
        <v/>
      </c>
      <c r="M51" s="2" t="n"/>
      <c r="N51" s="62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0" t="n">
        <v>5.65</v>
      </c>
      <c r="F52" s="30" t="n">
        <v>0</v>
      </c>
      <c r="G52" s="30" t="n"/>
      <c r="H52" s="47" t="n"/>
      <c r="I52" s="47" t="n"/>
      <c r="J52" s="61">
        <f>IF(B52="","",N(E52)*N(F52)+N(G52))</f>
        <v/>
      </c>
      <c r="M52" s="2" t="n"/>
      <c r="N52" s="62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0" t="n">
        <v>5.65</v>
      </c>
      <c r="F53" s="30" t="n">
        <v>0</v>
      </c>
      <c r="G53" s="30" t="n"/>
      <c r="H53" s="47" t="n"/>
      <c r="I53" s="47" t="n"/>
      <c r="J53" s="61">
        <f>IF(B53="","",N(E53)*N(F53)+N(G53))</f>
        <v/>
      </c>
      <c r="M53" s="2" t="n"/>
      <c r="N53" s="62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0" t="n">
        <v>5.65</v>
      </c>
      <c r="F54" s="30" t="n">
        <v>0</v>
      </c>
      <c r="G54" s="30" t="n"/>
      <c r="H54" s="47" t="n"/>
      <c r="I54" s="47" t="n"/>
      <c r="J54" s="61">
        <f>IF(B54="","",N(E54)*N(F54)+N(G54))</f>
        <v/>
      </c>
      <c r="M54" s="2" t="n"/>
      <c r="N54" s="62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0" t="n">
        <v>1.5</v>
      </c>
      <c r="F55" s="30" t="n">
        <v>0.5</v>
      </c>
      <c r="G55" s="30" t="n">
        <v>2</v>
      </c>
      <c r="H55" s="47" t="n">
        <v>4150</v>
      </c>
      <c r="I55" s="47" t="n"/>
      <c r="J55" s="61">
        <f>IF(B55="","",N(E55)*N(F55)+N(G55))</f>
        <v/>
      </c>
      <c r="AN55" s="20" t="inlineStr">
        <is>
          <t>250UB31.4</t>
        </is>
      </c>
    </row>
    <row r="56" ht="14" customHeight="1">
      <c r="B56" s="2" t="n"/>
      <c r="C56" s="2" t="n"/>
      <c r="D56" s="5" t="n"/>
      <c r="E56" s="60" t="n"/>
      <c r="F56" s="30" t="n"/>
      <c r="G56" s="30" t="n"/>
      <c r="H56" s="47" t="n"/>
      <c r="I56" s="47" t="n"/>
      <c r="J56" s="61">
        <f>IF(B56="","",N(E56)*N(F56)+N(G56))</f>
        <v/>
      </c>
      <c r="R56" s="1" t="inlineStr">
        <is>
          <t>Active uplift (bottom flange) combinations:</t>
        </is>
      </c>
      <c r="S56" s="49">
        <f>COUNTIFS(CombLib_B1[Active],1,CombLib_B1[Crit. flange],"Bottom")</f>
        <v/>
      </c>
      <c r="AN56" s="20" t="inlineStr">
        <is>
          <t>250UB25.7</t>
        </is>
      </c>
    </row>
    <row r="57" ht="14" customHeight="1">
      <c r="B57" s="2" t="n"/>
      <c r="C57" s="2" t="n"/>
      <c r="D57" s="5" t="n"/>
      <c r="E57" s="60" t="n"/>
      <c r="F57" s="30" t="n"/>
      <c r="G57" s="30" t="n"/>
      <c r="H57" s="47" t="n"/>
      <c r="I57" s="47" t="n"/>
      <c r="J57" s="61">
        <f>IF(B57="","",N(E57)*N(F57)+N(G57))</f>
        <v/>
      </c>
      <c r="AN57" s="20" t="inlineStr">
        <is>
          <t>200UB29.8</t>
        </is>
      </c>
    </row>
    <row r="58" ht="14" customHeight="1">
      <c r="AN58" s="20" t="inlineStr">
        <is>
          <t>200UB25.4</t>
        </is>
      </c>
    </row>
    <row r="59" ht="14" customHeight="1">
      <c r="E59" s="50" t="inlineStr">
        <is>
          <t>G</t>
        </is>
      </c>
      <c r="F59" s="50" t="inlineStr">
        <is>
          <t>Q</t>
        </is>
      </c>
      <c r="G59" s="50" t="inlineStr">
        <is>
          <t>Wd</t>
        </is>
      </c>
      <c r="H59" s="50" t="inlineStr">
        <is>
          <t>Wu</t>
        </is>
      </c>
      <c r="I59" s="50" t="inlineStr">
        <is>
          <t>Wid</t>
        </is>
      </c>
      <c r="J59" s="50" t="inlineStr">
        <is>
          <t>Wiu</t>
        </is>
      </c>
      <c r="AN59" s="20" t="inlineStr">
        <is>
          <t>200UB22.3</t>
        </is>
      </c>
    </row>
    <row r="60" ht="14" customHeight="1">
      <c r="B60" s="43" t="inlineStr">
        <is>
          <t>Full-span UDL totals (excl. self-weight):</t>
        </is>
      </c>
      <c r="E60" s="61">
        <f>SUMIFS(Loads_B1[Load],Loads_B1[Case],"G",Loads_B1[Type],"UDL")</f>
        <v/>
      </c>
      <c r="F60" s="61">
        <f>SUMIFS(Loads_B1[Load],Loads_B1[Case],"Q",Loads_B1[Type],"UDL")</f>
        <v/>
      </c>
      <c r="G60" s="61">
        <f>SUMIFS(Loads_B1[Load],Loads_B1[Case],"Wd",Loads_B1[Type],"UDL")</f>
        <v/>
      </c>
      <c r="H60" s="61">
        <f>SUMIFS(Loads_B1[Load],Loads_B1[Case],"Wu",Loads_B1[Type],"UDL")</f>
        <v/>
      </c>
      <c r="I60" s="61">
        <f>SUMIFS(Loads_B1[Load],Loads_B1[Case],"Wid",Loads_B1[Type],"UDL")</f>
        <v/>
      </c>
      <c r="J60" s="61">
        <f>SUMIFS(Loads_B1[Load],Loads_B1[Case],"Wiu",Loads_B1[Type],"UDL")</f>
        <v/>
      </c>
      <c r="AN60" s="20" t="inlineStr">
        <is>
          <t>200UB18.2</t>
        </is>
      </c>
    </row>
    <row r="61" ht="14" customHeight="1">
      <c r="AN61" s="20" t="inlineStr">
        <is>
          <t>180UB22.2</t>
        </is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</row>
    <row r="63" ht="14" customHeight="1">
      <c r="B63" s="42" t="inlineStr">
        <is>
          <t>Combination set</t>
        </is>
      </c>
      <c r="E63" s="2" t="inlineStr">
        <is>
          <t>Roof</t>
        </is>
      </c>
      <c r="F63" s="44" t="inlineStr">
        <is>
          <t>ψc</t>
        </is>
      </c>
      <c r="G63" s="54" t="n">
        <v>0.4</v>
      </c>
      <c r="H63" s="6" t="inlineStr">
        <is>
          <t>Table 4.1 (roofs 0.0)</t>
        </is>
      </c>
      <c r="AN63" s="20" t="inlineStr">
        <is>
          <t>180UB16.1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</row>
    <row r="66" ht="14" customHeight="1">
      <c r="B66" s="34" cm="1">
        <f t="array" ref="B66">_xlfn._xlws.FILTER(CombLib_B1[[ID]:[Wiu]],CombLib_B1[Active]=1,"No combinations selected")</f>
        <v/>
      </c>
      <c r="C66" s="34" t="n"/>
      <c r="D66" s="42" t="n"/>
      <c r="E66" s="63" t="n"/>
      <c r="F66" s="63" t="n"/>
      <c r="G66" s="63" t="n"/>
      <c r="H66" s="63" t="n"/>
      <c r="I66" s="63" t="n"/>
      <c r="J66" s="63" t="n"/>
      <c r="AN66" s="20" t="inlineStr">
        <is>
          <t>380PFC</t>
        </is>
      </c>
    </row>
    <row r="67" ht="14" customHeight="1">
      <c r="B67" s="34" t="n"/>
      <c r="C67" s="34" t="n"/>
      <c r="D67" s="42" t="n"/>
      <c r="E67" s="63" t="n"/>
      <c r="F67" s="63" t="n"/>
      <c r="G67" s="63" t="n"/>
      <c r="H67" s="63" t="n"/>
      <c r="I67" s="63" t="n"/>
      <c r="J67" s="63" t="n"/>
      <c r="AN67" s="20" t="inlineStr">
        <is>
          <t>300PFC</t>
        </is>
      </c>
    </row>
    <row r="68" ht="14" customHeight="1">
      <c r="B68" s="34" t="n"/>
      <c r="C68" s="34" t="n"/>
      <c r="D68" s="42" t="n"/>
      <c r="E68" s="63" t="n"/>
      <c r="F68" s="63" t="n"/>
      <c r="G68" s="63" t="n"/>
      <c r="H68" s="63" t="n"/>
      <c r="I68" s="63" t="n"/>
      <c r="J68" s="63" t="n"/>
      <c r="AN68" s="20" t="inlineStr">
        <is>
          <t>250PFC</t>
        </is>
      </c>
    </row>
    <row r="69" ht="14" customHeight="1">
      <c r="B69" s="34" t="n"/>
      <c r="C69" s="34" t="n"/>
      <c r="D69" s="42" t="n"/>
      <c r="E69" s="63" t="n"/>
      <c r="F69" s="63" t="n"/>
      <c r="G69" s="63" t="n"/>
      <c r="H69" s="63" t="n"/>
      <c r="I69" s="63" t="n"/>
      <c r="J69" s="63" t="n"/>
      <c r="AN69" s="20" t="inlineStr">
        <is>
          <t>230PFC</t>
        </is>
      </c>
    </row>
    <row r="70" ht="14" customHeight="1">
      <c r="B70" s="34" t="n"/>
      <c r="C70" s="34" t="n"/>
      <c r="D70" s="42" t="n"/>
      <c r="E70" s="63" t="n"/>
      <c r="F70" s="63" t="n"/>
      <c r="G70" s="63" t="n"/>
      <c r="H70" s="63" t="n"/>
      <c r="I70" s="63" t="n"/>
      <c r="J70" s="63" t="n"/>
      <c r="AN70" s="20" t="inlineStr">
        <is>
          <t>200PFC</t>
        </is>
      </c>
    </row>
    <row r="71" ht="14" customHeight="1">
      <c r="B71" s="34" t="n"/>
      <c r="C71" s="34" t="n"/>
      <c r="D71" s="42" t="n"/>
      <c r="E71" s="63" t="n"/>
      <c r="F71" s="63" t="n"/>
      <c r="G71" s="63" t="n"/>
      <c r="H71" s="63" t="n"/>
      <c r="I71" s="63" t="n"/>
      <c r="J71" s="63" t="n"/>
      <c r="AN71" s="20" t="inlineStr">
        <is>
          <t>180PFC</t>
        </is>
      </c>
    </row>
    <row r="72" ht="14" customHeight="1">
      <c r="B72" s="34" t="n"/>
      <c r="C72" s="34" t="n"/>
      <c r="D72" s="42" t="n"/>
      <c r="E72" s="63" t="n"/>
      <c r="F72" s="63" t="n"/>
      <c r="G72" s="63" t="n"/>
      <c r="H72" s="63" t="n"/>
      <c r="I72" s="63" t="n"/>
      <c r="J72" s="63" t="n"/>
      <c r="AN72" s="20" t="inlineStr">
        <is>
          <t>150PFC</t>
        </is>
      </c>
    </row>
    <row r="73" ht="14" customHeight="1">
      <c r="B73" s="34" t="n"/>
      <c r="C73" s="34" t="n"/>
      <c r="D73" s="42" t="n"/>
      <c r="E73" s="63" t="n"/>
      <c r="F73" s="63" t="n"/>
      <c r="G73" s="63" t="n"/>
      <c r="H73" s="63" t="n"/>
      <c r="I73" s="63" t="n"/>
      <c r="J73" s="63" t="n"/>
      <c r="AN73" s="20" t="inlineStr">
        <is>
          <t>125PFC</t>
        </is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override</t>
        </is>
      </c>
      <c r="H76" s="25" t="inlineStr">
        <is>
          <t>Factor</t>
        </is>
      </c>
      <c r="I76" s="25" t="inlineStr">
        <is>
          <t>Top</t>
        </is>
      </c>
      <c r="J76" s="25" t="inlineStr">
        <is>
          <t>Bottom</t>
        </is>
      </c>
      <c r="AN76" s="20" t="inlineStr">
        <is>
          <t>310UC158</t>
        </is>
      </c>
    </row>
    <row r="77" ht="14" customHeight="1">
      <c r="B77" s="64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4" t="inlineStr">
        <is>
          <t>kl</t>
        </is>
      </c>
      <c r="I77" s="30" t="n">
        <v>1.4</v>
      </c>
      <c r="J77" s="30" t="n">
        <v>1</v>
      </c>
      <c r="AN77" s="20" t="inlineStr">
        <is>
          <t>310UC137</t>
        </is>
      </c>
    </row>
    <row r="78" ht="14" customHeight="1">
      <c r="B78" s="47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30" t="n"/>
      <c r="H78" s="34" t="inlineStr">
        <is>
          <t>kr</t>
        </is>
      </c>
      <c r="I78" s="30" t="n">
        <v>1</v>
      </c>
      <c r="J78" s="30" t="n">
        <v>1</v>
      </c>
      <c r="AN78" s="20" t="inlineStr">
        <is>
          <t>310UC118</t>
        </is>
      </c>
    </row>
    <row r="79" ht="14" customHeight="1">
      <c r="B79" s="47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30" t="n"/>
      <c r="H79" s="15" t="inlineStr">
        <is>
          <t>kt from restraint</t>
        </is>
      </c>
      <c r="AN79" s="20" t="inlineStr">
        <is>
          <t>310UC97</t>
        </is>
      </c>
    </row>
    <row r="80" ht="14" customHeight="1">
      <c r="B80" s="64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30" t="n"/>
      <c r="H80" s="15" t="inlineStr">
        <is>
          <t>types (add-in)</t>
        </is>
      </c>
      <c r="AN80" s="20" t="inlineStr">
        <is>
          <t>250UC89.5</t>
        </is>
      </c>
    </row>
    <row r="81" ht="14" customHeight="1">
      <c r="B81" s="47" t="n"/>
      <c r="C81" s="2" t="n"/>
      <c r="D81" s="5" t="n"/>
      <c r="E81" s="2" t="n"/>
      <c r="F81" s="2" t="n"/>
      <c r="G81" s="30" t="n"/>
      <c r="AN81" s="20" t="inlineStr">
        <is>
          <t>250UC73</t>
        </is>
      </c>
    </row>
    <row r="82" ht="14" customHeight="1">
      <c r="B82" s="15" t="inlineStr">
        <is>
          <t>αm override applies to the segment starting at that row (blank = Cl. 5.6.1.1(a)(iii)); flagged * in the output.</t>
        </is>
      </c>
      <c r="AN82" s="20" t="inlineStr">
        <is>
          <t>200UC59.5</t>
        </is>
      </c>
    </row>
    <row r="83" ht="14" customHeight="1">
      <c r="AN83" s="20" t="inlineStr">
        <is>
          <t>200UC52</t>
        </is>
      </c>
    </row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AN84" s="20" t="inlineStr">
        <is>
          <t>200UC46</t>
        </is>
      </c>
    </row>
    <row r="85" ht="14" customHeight="1">
      <c r="B85" s="59" t="inlineStr">
        <is>
          <t>Case</t>
        </is>
      </c>
      <c r="C85" s="59" t="inlineStr">
        <is>
          <t>Δ max (mm)</t>
        </is>
      </c>
      <c r="D85" s="59" t="inlineStr">
        <is>
          <t>at x (mm)</t>
        </is>
      </c>
      <c r="E85" s="59" t="inlineStr">
        <is>
          <t>Limit (mm)</t>
        </is>
      </c>
      <c r="F85" s="59" t="inlineStr">
        <is>
          <t>L / Δ</t>
        </is>
      </c>
      <c r="G85" s="59" t="inlineStr">
        <is>
          <t>Utilisation</t>
        </is>
      </c>
      <c r="AN85" s="20" t="inlineStr">
        <is>
          <t>150UC37</t>
        </is>
      </c>
    </row>
    <row r="86" ht="14" customHeight="1">
      <c r="B86" s="34" cm="1">
        <f t="array" ref="B86">OAR.SLS(SectionSize,Span,E_mod,IncludeSW,Loads_B1[[Case]:[End (mm)]],$E$37:$F$41,PsiL,PsiS)</f>
        <v/>
      </c>
      <c r="C86" s="63" t="n"/>
      <c r="D86" s="65" t="n"/>
      <c r="E86" s="63" t="n"/>
      <c r="F86" s="66" t="n"/>
      <c r="G86" s="67" t="n"/>
      <c r="H86" s="6" t="inlineStr">
        <is>
          <t>Δ1kN: 1 kN at midspan,</t>
        </is>
      </c>
      <c r="AN86" s="20" t="inlineStr">
        <is>
          <t>150UC30</t>
        </is>
      </c>
    </row>
    <row r="87" ht="14" customHeight="1">
      <c r="B87" s="34" t="n"/>
      <c r="C87" s="63" t="n"/>
      <c r="D87" s="65" t="n"/>
      <c r="E87" s="63" t="n"/>
      <c r="F87" s="66" t="n"/>
      <c r="G87" s="67" t="n"/>
      <c r="H87" s="6" t="inlineStr">
        <is>
          <t>beam alone</t>
        </is>
      </c>
      <c r="AN87" s="20" t="inlineStr">
        <is>
          <t>150UC23</t>
        </is>
      </c>
    </row>
    <row r="88" ht="14" customHeight="1">
      <c r="B88" s="34" t="n"/>
      <c r="C88" s="63" t="n"/>
      <c r="D88" s="65" t="n"/>
      <c r="E88" s="63" t="n"/>
      <c r="F88" s="66" t="n"/>
      <c r="G88" s="67" t="n"/>
      <c r="AN88" s="20" t="inlineStr">
        <is>
          <t>100UC15</t>
        </is>
      </c>
    </row>
    <row r="89" ht="14" customHeight="1">
      <c r="B89" s="34" t="n"/>
      <c r="C89" s="63" t="n"/>
      <c r="D89" s="65" t="n"/>
      <c r="E89" s="63" t="n"/>
      <c r="F89" s="66" t="n"/>
      <c r="G89" s="67" t="n"/>
    </row>
    <row r="90" ht="14" customHeight="1">
      <c r="B90" s="34" t="n"/>
      <c r="C90" s="63" t="n"/>
      <c r="D90" s="65" t="n"/>
      <c r="E90" s="63" t="n"/>
      <c r="F90" s="66" t="n"/>
      <c r="G90" s="67" t="n"/>
    </row>
    <row r="91" ht="14" customHeight="1"/>
    <row r="92" ht="14" customHeight="1">
      <c r="B92" s="68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8" t="inlineStr">
        <is>
          <t>Bending moment envelope (kN·m, sagging down;  x in m)</t>
        </is>
      </c>
      <c r="F106" s="68" t="inlineStr">
        <is>
          <t>Shear force envelope (kN;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6" customHeight="1">
      <c r="B121" s="59" t="inlineStr">
        <is>
          <t>Combo</t>
        </is>
      </c>
      <c r="C121" s="59" t="inlineStr">
        <is>
          <t>Segment (m)</t>
        </is>
      </c>
      <c r="D121" s="59" t="inlineStr">
        <is>
          <t>Ends</t>
        </is>
      </c>
      <c r="E121" s="59" t="inlineStr">
        <is>
          <t>Le (m)</t>
        </is>
      </c>
      <c r="F121" s="59" t="inlineStr">
        <is>
          <t>αm</t>
        </is>
      </c>
      <c r="G121" s="59" t="inlineStr">
        <is>
          <t>αs</t>
        </is>
      </c>
      <c r="H121" s="59" t="inlineStr">
        <is>
          <t>φMb (kN·m)</t>
        </is>
      </c>
      <c r="I121" s="59" t="inlineStr">
        <is>
          <t>M* (kN·m)</t>
        </is>
      </c>
      <c r="J121" s="59" t="inlineStr">
        <is>
          <t>Utilisation</t>
        </is>
      </c>
    </row>
    <row r="122" ht="14" customHeight="1">
      <c r="B122" s="34" cm="1">
        <f t="array" ref="B122">OAR.ULS(SectionSize,Grade,Span,E_mod,IncludeSW,Loads_B1[[Case]:[End (mm)]],_xlfn.ANCHORARRAY(B66),Restraints_B1[#Data],$I$77:$J$78)</f>
        <v/>
      </c>
      <c r="C122" s="34" t="n"/>
      <c r="D122" s="34" t="n"/>
      <c r="E122" s="63" t="n"/>
      <c r="F122" s="69" t="n"/>
      <c r="G122" s="69" t="n"/>
      <c r="H122" s="70" t="n"/>
      <c r="I122" s="70" t="n"/>
      <c r="J122" s="67" t="n"/>
    </row>
    <row r="123" ht="14" customHeight="1">
      <c r="B123" s="34" t="n"/>
      <c r="C123" s="34" t="n"/>
      <c r="D123" s="34" t="n"/>
      <c r="E123" s="63" t="n"/>
      <c r="F123" s="69" t="n"/>
      <c r="G123" s="69" t="n"/>
      <c r="H123" s="70" t="n"/>
      <c r="I123" s="70" t="n"/>
      <c r="J123" s="67" t="n"/>
    </row>
    <row r="124" ht="14" customHeight="1">
      <c r="B124" s="34" t="n"/>
      <c r="C124" s="34" t="n"/>
      <c r="D124" s="34" t="n"/>
      <c r="E124" s="63" t="n"/>
      <c r="F124" s="69" t="n"/>
      <c r="G124" s="69" t="n"/>
      <c r="H124" s="70" t="n"/>
      <c r="I124" s="70" t="n"/>
      <c r="J124" s="67" t="n"/>
    </row>
    <row r="125" ht="14" customHeight="1">
      <c r="B125" s="34" t="n"/>
      <c r="C125" s="34" t="n"/>
      <c r="D125" s="34" t="n"/>
      <c r="E125" s="63" t="n"/>
      <c r="F125" s="69" t="n"/>
      <c r="G125" s="69" t="n"/>
      <c r="H125" s="70" t="n"/>
      <c r="I125" s="70" t="n"/>
      <c r="J125" s="67" t="n"/>
    </row>
    <row r="126" ht="14" customHeight="1">
      <c r="B126" s="34" t="n"/>
      <c r="C126" s="34" t="n"/>
      <c r="D126" s="34" t="n"/>
      <c r="E126" s="63" t="n"/>
      <c r="F126" s="69" t="n"/>
      <c r="G126" s="69" t="n"/>
      <c r="H126" s="70" t="n"/>
      <c r="I126" s="70" t="n"/>
      <c r="J126" s="67" t="n"/>
    </row>
    <row r="127" ht="14" customHeight="1">
      <c r="B127" s="34" t="n"/>
      <c r="C127" s="34" t="n"/>
      <c r="D127" s="34" t="n"/>
      <c r="E127" s="63" t="n"/>
      <c r="F127" s="69" t="n"/>
      <c r="G127" s="69" t="n"/>
      <c r="H127" s="70" t="n"/>
      <c r="I127" s="70" t="n"/>
      <c r="J127" s="67" t="n"/>
    </row>
    <row r="128" ht="14" customHeight="1">
      <c r="B128" s="34" t="n"/>
      <c r="C128" s="34" t="n"/>
      <c r="D128" s="34" t="n"/>
      <c r="E128" s="63" t="n"/>
      <c r="F128" s="69" t="n"/>
      <c r="G128" s="69" t="n"/>
      <c r="H128" s="70" t="n"/>
      <c r="I128" s="70" t="n"/>
      <c r="J128" s="67" t="n"/>
    </row>
    <row r="129" ht="14" customHeight="1">
      <c r="B129" s="34" t="n"/>
      <c r="C129" s="34" t="n"/>
      <c r="D129" s="34" t="n"/>
      <c r="E129" s="63" t="n"/>
      <c r="F129" s="69" t="n"/>
      <c r="G129" s="69" t="n"/>
      <c r="H129" s="70" t="n"/>
      <c r="I129" s="70" t="n"/>
      <c r="J129" s="67" t="n"/>
    </row>
    <row r="130" ht="14" customHeight="1">
      <c r="B130" s="34" t="n"/>
      <c r="C130" s="34" t="n"/>
      <c r="D130" s="34" t="n"/>
      <c r="E130" s="63" t="n"/>
      <c r="F130" s="69" t="n"/>
      <c r="G130" s="69" t="n"/>
      <c r="H130" s="70" t="n"/>
      <c r="I130" s="70" t="n"/>
      <c r="J130" s="67" t="n"/>
    </row>
    <row r="131" ht="14" customHeight="1">
      <c r="B131" s="34" t="n"/>
      <c r="C131" s="34" t="n"/>
      <c r="D131" s="34" t="n"/>
      <c r="E131" s="63" t="n"/>
      <c r="F131" s="69" t="n"/>
      <c r="G131" s="69" t="n"/>
      <c r="H131" s="70" t="n"/>
      <c r="I131" s="70" t="n"/>
      <c r="J131" s="67" t="n"/>
    </row>
    <row r="132" ht="14" customHeight="1">
      <c r="B132" s="34" t="n"/>
      <c r="C132" s="34" t="n"/>
      <c r="D132" s="34" t="n"/>
      <c r="E132" s="63" t="n"/>
      <c r="F132" s="69" t="n"/>
      <c r="G132" s="69" t="n"/>
      <c r="H132" s="70" t="n"/>
      <c r="I132" s="70" t="n"/>
      <c r="J132" s="67" t="n"/>
    </row>
    <row r="133" ht="14" customHeight="1">
      <c r="B133" s="34" t="n"/>
      <c r="C133" s="34" t="n"/>
      <c r="D133" s="34" t="n"/>
      <c r="E133" s="63" t="n"/>
      <c r="F133" s="69" t="n"/>
      <c r="G133" s="69" t="n"/>
      <c r="H133" s="70" t="n"/>
      <c r="I133" s="70" t="n"/>
      <c r="J133" s="67" t="n"/>
    </row>
    <row r="134" ht="14" customHeight="1">
      <c r="B134" s="34" t="n"/>
      <c r="C134" s="34" t="n"/>
      <c r="D134" s="34" t="n"/>
      <c r="E134" s="63" t="n"/>
      <c r="F134" s="69" t="n"/>
      <c r="G134" s="69" t="n"/>
      <c r="H134" s="70" t="n"/>
      <c r="I134" s="70" t="n"/>
      <c r="J134" s="67" t="n"/>
    </row>
    <row r="135" ht="14" customHeight="1">
      <c r="B135" s="34" t="n"/>
      <c r="C135" s="34" t="n"/>
      <c r="D135" s="34" t="n"/>
      <c r="E135" s="63" t="n"/>
      <c r="F135" s="69" t="n"/>
      <c r="G135" s="69" t="n"/>
      <c r="H135" s="70" t="n"/>
      <c r="I135" s="70" t="n"/>
      <c r="J135" s="67" t="n"/>
    </row>
    <row r="136" ht="14" customHeight="1">
      <c r="B136" s="34" t="n"/>
      <c r="C136" s="34" t="n"/>
      <c r="D136" s="34" t="n"/>
      <c r="E136" s="63" t="n"/>
      <c r="F136" s="69" t="n"/>
      <c r="G136" s="69" t="n"/>
      <c r="H136" s="70" t="n"/>
      <c r="I136" s="70" t="n"/>
      <c r="J136" s="67" t="n"/>
    </row>
    <row r="137" ht="14" customHeight="1">
      <c r="B137" s="34" t="n"/>
      <c r="C137" s="34" t="n"/>
      <c r="D137" s="34" t="n"/>
      <c r="E137" s="63" t="n"/>
      <c r="F137" s="69" t="n"/>
      <c r="G137" s="69" t="n"/>
      <c r="H137" s="70" t="n"/>
      <c r="I137" s="70" t="n"/>
      <c r="J137" s="67" t="n"/>
    </row>
    <row r="138" ht="14" customHeight="1">
      <c r="B138" s="15" t="inlineStr">
        <is>
          <t>* αm overridden in the restraints table.  Full working for the governing segment follows.</t>
        </is>
      </c>
    </row>
    <row r="139" ht="14" customHeight="1"/>
    <row r="140" ht="20" customHeight="1">
      <c r="B140" s="10" t="inlineStr">
        <is>
          <t>Governing Segment – Working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>
      <c r="B141" s="15" t="inlineStr">
        <is>
          <t>OAR.ULSDETAIL: change the comboId / segment arguments to show any other segment.</t>
        </is>
      </c>
    </row>
    <row r="142">
      <c r="D142" s="71" cm="1">
        <f t="array" ref="D142">OAR.ULSDETAIL(SectionSize,Grade,Span,E_mod,IncludeSW,Loads_B1[[Case]:[End (mm)]],_xlfn.ANCHORARRAY(B66),Restraints_B1[#Data],$I$77:$J$78)</f>
        <v/>
      </c>
      <c r="E142" s="72" t="n"/>
      <c r="F142" s="35" t="n"/>
    </row>
    <row r="143">
      <c r="D143" s="71" t="n"/>
      <c r="E143" s="72" t="n"/>
      <c r="F143" s="35" t="n"/>
    </row>
    <row r="144">
      <c r="D144" s="71" t="n"/>
      <c r="E144" s="72" t="n"/>
      <c r="F144" s="35" t="n"/>
    </row>
    <row r="145">
      <c r="D145" s="71" t="n"/>
      <c r="E145" s="72" t="n"/>
      <c r="F145" s="35" t="n"/>
    </row>
    <row r="146">
      <c r="D146" s="71" t="n"/>
      <c r="E146" s="72" t="n"/>
      <c r="F146" s="35" t="n"/>
    </row>
    <row r="147">
      <c r="D147" s="71" t="n"/>
      <c r="E147" s="72" t="n"/>
      <c r="F147" s="35" t="n"/>
    </row>
    <row r="148">
      <c r="D148" s="71" t="n"/>
      <c r="E148" s="72" t="n"/>
      <c r="F148" s="35" t="n"/>
    </row>
    <row r="149">
      <c r="D149" s="71" t="n"/>
      <c r="E149" s="72" t="n"/>
      <c r="F149" s="35" t="n"/>
    </row>
    <row r="150">
      <c r="D150" s="71" t="n"/>
      <c r="E150" s="72" t="n"/>
      <c r="F150" s="35" t="n"/>
    </row>
    <row r="151">
      <c r="D151" s="71" t="n"/>
      <c r="E151" s="72" t="n"/>
      <c r="F151" s="35" t="n"/>
    </row>
    <row r="152">
      <c r="D152" s="71" t="n"/>
      <c r="E152" s="72" t="n"/>
      <c r="F152" s="35" t="n"/>
    </row>
    <row r="153">
      <c r="D153" s="71" t="n"/>
      <c r="E153" s="72" t="n"/>
      <c r="F153" s="35" t="n"/>
    </row>
    <row r="154">
      <c r="D154" s="71" t="n"/>
      <c r="E154" s="72" t="n"/>
      <c r="F154" s="35" t="n"/>
    </row>
    <row r="155">
      <c r="D155" s="71" t="n"/>
      <c r="E155" s="72" t="n"/>
      <c r="F155" s="35" t="n"/>
    </row>
    <row r="156">
      <c r="D156" s="71" t="n"/>
      <c r="E156" s="72" t="n"/>
      <c r="F156" s="35" t="n"/>
    </row>
    <row r="157">
      <c r="D157" s="71" t="n"/>
      <c r="E157" s="72" t="n"/>
      <c r="F157" s="35" t="n"/>
    </row>
    <row r="158">
      <c r="D158" s="71" t="n"/>
      <c r="E158" s="72" t="n"/>
      <c r="F158" s="35" t="n"/>
    </row>
    <row r="159">
      <c r="D159" s="71" t="n"/>
      <c r="E159" s="72" t="n"/>
      <c r="F159" s="35" t="n"/>
    </row>
    <row r="160">
      <c r="D160" s="71" t="n"/>
      <c r="E160" s="72" t="n"/>
      <c r="F160" s="35" t="n"/>
    </row>
    <row r="161">
      <c r="D161" s="71" t="n"/>
      <c r="E161" s="72" t="n"/>
      <c r="F161" s="35" t="n"/>
    </row>
    <row r="162">
      <c r="D162" s="71" t="n"/>
      <c r="E162" s="72" t="n"/>
      <c r="F162" s="35" t="n"/>
    </row>
    <row r="163">
      <c r="D163" s="71" t="n"/>
      <c r="E163" s="72" t="n"/>
      <c r="F163" s="35" t="n"/>
    </row>
    <row r="165" ht="20" customHeight="1">
      <c r="B165" s="10" t="inlineStr">
        <is>
          <t>Shear (AS 4100 Cl. 5.11)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B166" s="59" t="inlineStr">
        <is>
          <t>Combo</t>
        </is>
      </c>
      <c r="C166" s="59" t="inlineStr">
        <is>
          <t>V* (kN)</t>
        </is>
      </c>
      <c r="D166" s="59" t="inlineStr">
        <is>
          <t>at x (m)</t>
        </is>
      </c>
      <c r="E166" s="59" t="inlineStr">
        <is>
          <t>φVv (kN)</t>
        </is>
      </c>
      <c r="F166" s="59" t="inlineStr">
        <is>
          <t>Utilisation</t>
        </is>
      </c>
      <c r="G166" s="59" t="inlineStr">
        <is>
          <t>Note</t>
        </is>
      </c>
    </row>
    <row r="167">
      <c r="B167" s="34" cm="1">
        <f t="array" ref="B167">OAR.SHEAR(SectionSize,Grade,Span,IncludeSW,Loads_B1[[Case]:[End (mm)]],_xlfn.ANCHORARRAY(B66))</f>
        <v/>
      </c>
      <c r="C167" s="70" t="n"/>
      <c r="D167" s="63" t="n"/>
      <c r="E167" s="70" t="n"/>
      <c r="F167" s="67" t="n"/>
      <c r="G167" s="73" t="n"/>
    </row>
    <row r="168">
      <c r="B168" s="34" t="n"/>
      <c r="C168" s="70" t="n"/>
      <c r="D168" s="63" t="n"/>
      <c r="E168" s="70" t="n"/>
      <c r="F168" s="67" t="n"/>
      <c r="G168" s="73" t="n"/>
    </row>
    <row r="169">
      <c r="B169" s="34" t="n"/>
      <c r="C169" s="70" t="n"/>
      <c r="D169" s="63" t="n"/>
      <c r="E169" s="70" t="n"/>
      <c r="F169" s="67" t="n"/>
      <c r="G169" s="73" t="n"/>
    </row>
    <row r="170">
      <c r="B170" s="34" t="n"/>
      <c r="C170" s="70" t="n"/>
      <c r="D170" s="63" t="n"/>
      <c r="E170" s="70" t="n"/>
      <c r="F170" s="67" t="n"/>
      <c r="G170" s="73" t="n"/>
    </row>
    <row r="171">
      <c r="B171" s="34" t="n"/>
      <c r="C171" s="70" t="n"/>
      <c r="D171" s="63" t="n"/>
      <c r="E171" s="70" t="n"/>
      <c r="F171" s="67" t="n"/>
      <c r="G171" s="73" t="n"/>
    </row>
    <row r="172">
      <c r="B172" s="34" t="n"/>
      <c r="C172" s="70" t="n"/>
      <c r="D172" s="63" t="n"/>
      <c r="E172" s="70" t="n"/>
      <c r="F172" s="67" t="n"/>
      <c r="G172" s="73" t="n"/>
    </row>
    <row r="173">
      <c r="B173" s="34" t="n"/>
      <c r="C173" s="70" t="n"/>
      <c r="D173" s="63" t="n"/>
      <c r="E173" s="70" t="n"/>
      <c r="F173" s="67" t="n"/>
      <c r="G173" s="73" t="n"/>
    </row>
    <row r="174">
      <c r="B174" s="34" t="n"/>
      <c r="C174" s="70" t="n"/>
      <c r="D174" s="63" t="n"/>
      <c r="E174" s="70" t="n"/>
      <c r="F174" s="67" t="n"/>
      <c r="G174" s="73" t="n"/>
    </row>
    <row r="176" ht="20" customHeight="1">
      <c r="B176" s="10" t="inlineStr">
        <is>
          <t>Support Reactions</t>
        </is>
      </c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B177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8">
      <c r="B178" s="25" t="inlineStr">
        <is>
          <t>Case</t>
        </is>
      </c>
      <c r="D178" s="25" t="inlineStr">
        <is>
          <t>Left (kN)</t>
        </is>
      </c>
      <c r="E178" s="25" t="inlineStr">
        <is>
          <t>Right (kN)</t>
        </is>
      </c>
      <c r="F178" s="25" t="inlineStr">
        <is>
          <t>Transfer names</t>
        </is>
      </c>
    </row>
    <row r="179">
      <c r="B179" s="51" t="inlineStr">
        <is>
          <t>G</t>
        </is>
      </c>
      <c r="C179" s="52" t="n"/>
      <c r="D179" s="36" cm="1">
        <f t="array" ref="D179">INDEX(OAR.REACTIONS(SectionSize,Span,IncludeSW,Loads_B1[[Case]:[End (mm)]],_xlfn.ANCHORARRAY(B66)),1,2)</f>
        <v/>
      </c>
      <c r="E179" s="36" cm="1">
        <f t="array" ref="E179">INDEX(OAR.REACTIONS(SectionSize,Span,IncludeSW,Loads_B1[[Case]:[End (mm)]],_xlfn.ANCHORARRAY(B66)),1,3)</f>
        <v/>
      </c>
      <c r="F179" s="21" t="inlineStr">
        <is>
          <t>RxnL_G  ·  RxnR_G</t>
        </is>
      </c>
    </row>
    <row r="180">
      <c r="B180" s="51" t="inlineStr">
        <is>
          <t>Q</t>
        </is>
      </c>
      <c r="C180" s="52" t="n"/>
      <c r="D180" s="36" cm="1">
        <f t="array" ref="D180">INDEX(OAR.REACTIONS(SectionSize,Span,IncludeSW,Loads_B1[[Case]:[End (mm)]],_xlfn.ANCHORARRAY(B66)),2,2)</f>
        <v/>
      </c>
      <c r="E180" s="36" cm="1">
        <f t="array" ref="E180">INDEX(OAR.REACTIONS(SectionSize,Span,IncludeSW,Loads_B1[[Case]:[End (mm)]],_xlfn.ANCHORARRAY(B66)),2,3)</f>
        <v/>
      </c>
      <c r="F180" s="21" t="inlineStr">
        <is>
          <t>RxnL_Q  ·  RxnR_Q</t>
        </is>
      </c>
    </row>
    <row r="181">
      <c r="B181" s="51" t="inlineStr">
        <is>
          <t>Wd</t>
        </is>
      </c>
      <c r="C181" s="52" t="n"/>
      <c r="D181" s="36" cm="1">
        <f t="array" ref="D181">INDEX(OAR.REACTIONS(SectionSize,Span,IncludeSW,Loads_B1[[Case]:[End (mm)]],_xlfn.ANCHORARRAY(B66)),3,2)</f>
        <v/>
      </c>
      <c r="E181" s="36" cm="1">
        <f t="array" ref="E181">INDEX(OAR.REACTIONS(SectionSize,Span,IncludeSW,Loads_B1[[Case]:[End (mm)]],_xlfn.ANCHORARRAY(B66)),3,3)</f>
        <v/>
      </c>
      <c r="F181" s="21" t="inlineStr">
        <is>
          <t>RxnL_Wd  ·  RxnR_Wd</t>
        </is>
      </c>
    </row>
    <row r="182">
      <c r="B182" s="51" t="inlineStr">
        <is>
          <t>Wu</t>
        </is>
      </c>
      <c r="C182" s="52" t="n"/>
      <c r="D182" s="36" cm="1">
        <f t="array" ref="D182">-INDEX(OAR.REACTIONS(SectionSize,Span,IncludeSW,Loads_B1[[Case]:[End (mm)]],_xlfn.ANCHORARRAY(B66)),4,2)</f>
        <v/>
      </c>
      <c r="E182" s="36" cm="1">
        <f t="array" ref="E182">-INDEX(OAR.REACTIONS(SectionSize,Span,IncludeSW,Loads_B1[[Case]:[End (mm)]],_xlfn.ANCHORARRAY(B66)),4,3)</f>
        <v/>
      </c>
      <c r="F182" s="21" t="inlineStr">
        <is>
          <t>RxnL_Wu  ·  RxnR_Wu</t>
        </is>
      </c>
    </row>
    <row r="183">
      <c r="B183" s="51" t="inlineStr">
        <is>
          <t>Wid</t>
        </is>
      </c>
      <c r="C183" s="52" t="n"/>
      <c r="D183" s="36" cm="1">
        <f t="array" ref="D183">INDEX(OAR.REACTIONS(SectionSize,Span,IncludeSW,Loads_B1[[Case]:[End (mm)]],_xlfn.ANCHORARRAY(B66)),5,2)</f>
        <v/>
      </c>
      <c r="E183" s="36" cm="1">
        <f t="array" ref="E183">INDEX(OAR.REACTIONS(SectionSize,Span,IncludeSW,Loads_B1[[Case]:[End (mm)]],_xlfn.ANCHORARRAY(B66)),5,3)</f>
        <v/>
      </c>
      <c r="F183" s="21" t="inlineStr">
        <is>
          <t>RxnL_Wid  ·  RxnR_Wid</t>
        </is>
      </c>
    </row>
    <row r="184">
      <c r="B184" s="51" t="inlineStr">
        <is>
          <t>Wiu</t>
        </is>
      </c>
      <c r="C184" s="52" t="n"/>
      <c r="D184" s="36" cm="1">
        <f t="array" ref="D184">-INDEX(OAR.REACTIONS(SectionSize,Span,IncludeSW,Loads_B1[[Case]:[End (mm)]],_xlfn.ANCHORARRAY(B66)),6,2)</f>
        <v/>
      </c>
      <c r="E184" s="36" cm="1">
        <f t="array" ref="E184">-INDEX(OAR.REACTIONS(SectionSize,Span,IncludeSW,Loads_B1[[Case]:[End (mm)]],_xlfn.ANCHORARRAY(B66)),6,3)</f>
        <v/>
      </c>
      <c r="F184" s="21" t="inlineStr">
        <is>
          <t>RxnL_Wiu  ·  RxnR_Wiu</t>
        </is>
      </c>
    </row>
    <row r="186">
      <c r="B186" s="15" t="inlineStr">
        <is>
          <t>All cases and active combinations (kN, + = upward reaction; uplift cases show negative)</t>
        </is>
      </c>
    </row>
    <row r="187">
      <c r="B187" s="59" t="inlineStr">
        <is>
          <t>ID</t>
        </is>
      </c>
      <c r="C187" s="59" t="inlineStr">
        <is>
          <t>Left (kN)</t>
        </is>
      </c>
      <c r="D187" s="59" t="inlineStr">
        <is>
          <t>Right (kN)</t>
        </is>
      </c>
    </row>
    <row r="188">
      <c r="B188" s="34" cm="1">
        <f t="array" ref="B188">OAR.REACTIONS(SectionSize,Span,IncludeSW,Loads_B1[[Case]:[End (mm)]],_xlfn.ANCHORARRAY(B66))</f>
        <v/>
      </c>
      <c r="C188" s="63" t="n"/>
      <c r="D188" s="63" t="n"/>
    </row>
    <row r="189">
      <c r="B189" s="34" t="n"/>
      <c r="C189" s="63" t="n"/>
      <c r="D189" s="63" t="n"/>
    </row>
    <row r="190">
      <c r="B190" s="34" t="n"/>
      <c r="C190" s="63" t="n"/>
      <c r="D190" s="63" t="n"/>
    </row>
    <row r="191">
      <c r="B191" s="34" t="n"/>
      <c r="C191" s="63" t="n"/>
      <c r="D191" s="63" t="n"/>
    </row>
    <row r="192">
      <c r="B192" s="34" t="n"/>
      <c r="C192" s="63" t="n"/>
      <c r="D192" s="63" t="n"/>
    </row>
    <row r="193">
      <c r="B193" s="34" t="n"/>
      <c r="C193" s="63" t="n"/>
      <c r="D193" s="63" t="n"/>
    </row>
    <row r="194">
      <c r="B194" s="34" t="n"/>
      <c r="C194" s="63" t="n"/>
      <c r="D194" s="63" t="n"/>
    </row>
    <row r="195">
      <c r="B195" s="34" t="n"/>
      <c r="C195" s="63" t="n"/>
      <c r="D195" s="63" t="n"/>
    </row>
    <row r="196">
      <c r="B196" s="34" t="n"/>
      <c r="C196" s="63" t="n"/>
      <c r="D196" s="63" t="n"/>
    </row>
    <row r="197">
      <c r="B197" s="34" t="n"/>
      <c r="C197" s="63" t="n"/>
      <c r="D197" s="63" t="n"/>
    </row>
    <row r="198">
      <c r="B198" s="34" t="n"/>
      <c r="C198" s="63" t="n"/>
      <c r="D198" s="63" t="n"/>
    </row>
    <row r="199">
      <c r="B199" s="34" t="n"/>
      <c r="C199" s="63" t="n"/>
      <c r="D199" s="63" t="n"/>
    </row>
    <row r="200">
      <c r="B200" s="34" t="n"/>
      <c r="C200" s="63" t="n"/>
      <c r="D200" s="63" t="n"/>
    </row>
    <row r="201">
      <c r="B201" s="34" t="n"/>
      <c r="C201" s="63" t="n"/>
      <c r="D201" s="63" t="n"/>
    </row>
  </sheetData>
  <mergeCells count="40">
    <mergeCell ref="F182:G182"/>
    <mergeCell ref="B16:C16"/>
    <mergeCell ref="F178:G178"/>
    <mergeCell ref="F10:G10"/>
    <mergeCell ref="F183:G183"/>
    <mergeCell ref="B22:C22"/>
    <mergeCell ref="B18:C18"/>
    <mergeCell ref="B184:C184"/>
    <mergeCell ref="B180:C180"/>
    <mergeCell ref="B10:D10"/>
    <mergeCell ref="B39:C39"/>
    <mergeCell ref="B21:C21"/>
    <mergeCell ref="M8:T40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F184:G184"/>
    <mergeCell ref="B40:C40"/>
    <mergeCell ref="F179:G179"/>
    <mergeCell ref="I1:J1"/>
    <mergeCell ref="B183:C183"/>
    <mergeCell ref="I4:J4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2:J137">
    <cfRule type="expression" priority="14" dxfId="7">
      <formula>$B122&lt;&gt;""</formula>
    </cfRule>
  </conditionalFormatting>
  <conditionalFormatting sqref="J122:J137">
    <cfRule type="expression" priority="15" dxfId="0">
      <formula>AND(ISNUMBER(J122),J122&gt;1)</formula>
    </cfRule>
  </conditionalFormatting>
  <conditionalFormatting sqref="C122:C137">
    <cfRule type="expression" priority="16" dxfId="9">
      <formula>RIGHT(C122,1)="*"</formula>
    </cfRule>
  </conditionalFormatting>
  <conditionalFormatting sqref="B167:F174">
    <cfRule type="expression" priority="17" dxfId="7">
      <formula>$B167&lt;&gt;""</formula>
    </cfRule>
  </conditionalFormatting>
  <conditionalFormatting sqref="F167:F174">
    <cfRule type="expression" priority="18" dxfId="0">
      <formula>AND(ISNUMBER(F167),F167&gt;1)</formula>
    </cfRule>
  </conditionalFormatting>
  <conditionalFormatting sqref="B188:D201">
    <cfRule type="expression" priority="19" dxfId="7">
      <formula>$B188&lt;&gt;""</formula>
    </cfRule>
  </conditionalFormatting>
  <dataValidations count="13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9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2026-10-27T13:33:47Z</dcterms:created>
  <dcterms:modified xmlns:dcterms="http://purl.org/dc/terms/" xmlns:xsi="http://www.w3.org/2001/XMLSchema-instance" xsi:type="dcterms:W3CDTF">2026-10-27T13:33:47Z</dcterms:modified>
</cp:coreProperties>
</file>